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S:\Workgroup\Requests\2025\Regular Requests\2025Q2\RCS_Quarter_Files\LGA_Excel\"/>
    </mc:Choice>
  </mc:AlternateContent>
  <xr:revisionPtr revIDLastSave="0" documentId="8_{DC999722-1972-4D36-8687-9CFF2CE32D38}" xr6:coauthVersionLast="47" xr6:coauthVersionMax="47" xr10:uidLastSave="{00000000-0000-0000-0000-000000000000}"/>
  <bookViews>
    <workbookView xWindow="-120" yWindow="-120" windowWidth="25440" windowHeight="15390" xr2:uid="{00000000-000D-0000-FFFF-FFFF00000000}"/>
  </bookViews>
  <sheets>
    <sheet name="Summary of offences" sheetId="1" r:id="rId1"/>
    <sheet name="Premises Type" sheetId="2" r:id="rId2"/>
    <sheet name="Victims" sheetId="3" r:id="rId3"/>
    <sheet name="Offenders" sheetId="4" r:id="rId4"/>
    <sheet name="Aboriginality" sheetId="8" r:id="rId5"/>
    <sheet name="Alcohol Related" sheetId="5" r:id="rId6"/>
    <sheet name="Month" sheetId="6" r:id="rId7"/>
    <sheet name="Time" sheetId="7" r:id="rId8"/>
  </sheets>
  <definedNames>
    <definedName name="_xlnm._FilterDatabase" localSheetId="0" hidden="1">'Summary of offences'!$A$7:$A$71</definedName>
    <definedName name="_xlnm.Print_Area" localSheetId="3">Offenders!$A$1:$O$41</definedName>
    <definedName name="_xlnm.Print_Area" localSheetId="2">Victims!$A$1:$F$36</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35" i="8"/>
  <c r="A46" i="4"/>
  <c r="A40" i="3"/>
  <c r="A34" i="2"/>
  <c r="A92" i="1"/>
  <c r="E7" i="1"/>
  <c r="F7" i="1"/>
  <c r="A3" i="1"/>
  <c r="A19" i="8"/>
</calcChain>
</file>

<file path=xl/sharedStrings.xml><?xml version="1.0" encoding="utf-8"?>
<sst xmlns="http://schemas.openxmlformats.org/spreadsheetml/2006/main" count="676" uniqueCount="218">
  <si>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</si>
  <si>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</si>
  <si>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</si>
  <si>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</si>
  <si>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</si>
  <si>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</si>
  <si>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</si>
  <si>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</si>
  <si>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</si>
  <si>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</si>
  <si>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</si>
  <si>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</si>
  <si>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</si>
  <si>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</si>
  <si>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</si>
  <si>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</si>
  <si>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</si>
  <si>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</si>
  <si>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</si>
  <si>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</si>
  <si>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</si>
  <si>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</si>
  <si>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</si>
  <si>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</si>
  <si>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</si>
  <si>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</si>
  <si>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</si>
  <si>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</si>
  <si>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</si>
  <si>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</si>
  <si>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</si>
  <si>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</si>
  <si>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</si>
  <si>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</si>
  <si>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</si>
  <si>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</si>
  <si>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</si>
  <si>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</si>
  <si>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</si>
  <si>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</si>
  <si>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</si>
  <si>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</si>
  <si>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</si>
  <si>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</si>
  <si>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</si>
  <si>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</si>
  <si>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</si>
  <si>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</si>
  <si>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</si>
  <si>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</si>
  <si>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</si>
  <si>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</si>
  <si>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</si>
  <si>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</si>
  <si>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</si>
  <si>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</si>
  <si>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</si>
  <si>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</si>
  <si>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</si>
  <si>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</si>
  <si>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</si>
  <si>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</si>
  <si>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18 - 19</t>
  </si>
  <si>
    <t>20 - 29</t>
  </si>
  <si>
    <t>30 - 39</t>
  </si>
  <si>
    <t>Missing / unknown</t>
  </si>
  <si>
    <t>Female</t>
  </si>
  <si>
    <t>10 - 17</t>
  </si>
  <si>
    <t>40 +</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</si>
  <si>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</si>
  <si>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</si>
  <si>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</si>
  <si>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</si>
  <si>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</si>
  <si>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</si>
  <si>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</si>
  <si>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</si>
  <si>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</si>
  <si>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</si>
  <si>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</si>
  <si>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</si>
  <si>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</si>
  <si>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</si>
  <si>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</si>
  <si>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</si>
  <si>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</si>
  <si>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</si>
  <si>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</si>
  <si>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</si>
  <si>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</si>
  <si>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</si>
  <si>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</si>
  <si>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</si>
  <si>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</si>
  <si>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</si>
  <si>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</si>
  <si>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</si>
  <si>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</si>
  <si>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</si>
  <si>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</si>
  <si>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</si>
  <si>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 This table does not give a count of unique individuals.</t>
  </si>
  <si>
    <t>Premises type</t>
  </si>
  <si>
    <t>Rural industry</t>
  </si>
  <si>
    <t>Public transport</t>
  </si>
  <si>
    <t>Firearm premises</t>
  </si>
  <si>
    <t>Age and gender of victims* of selected offences recorded by NSW Police</t>
  </si>
  <si>
    <t>Victim's gender</t>
  </si>
  <si>
    <t>Victim's age</t>
  </si>
  <si>
    <t>January</t>
  </si>
  <si>
    <t>Sunday</t>
  </si>
  <si>
    <t>0 - 17</t>
  </si>
  <si>
    <t>18 - 29</t>
  </si>
  <si>
    <t>Where this occurs, the Total count cannot be calculated and is indicated by 'nc'.</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</si>
  <si>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</si>
  <si>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</si>
  <si>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r>
      <rPr>
        <b/>
        <i/>
        <sz val="9"/>
        <rFont val="Arial"/>
        <family val="2"/>
      </rPr>
      <t>Note:</t>
    </r>
    <r>
      <rPr>
        <i/>
        <sz val="9"/>
        <rFont val="Arial"/>
        <family val="2"/>
      </rPr>
      <t xml:space="preserve"> To protect the identity of individuals, 'na' indicates that the age category has a count that falls between 1 and 4 inclusive.</t>
    </r>
  </si>
  <si>
    <t>* Criminal incidents are included in the counting period in which they occurred.</t>
  </si>
  <si>
    <r>
      <rPr>
        <i/>
        <vertAlign val="superscript"/>
        <sz val="10"/>
        <rFont val="Arial"/>
        <family val="2"/>
      </rPr>
      <t>#</t>
    </r>
    <r>
      <rPr>
        <i/>
        <sz val="10"/>
        <rFont val="Arial"/>
        <family val="2"/>
      </rPr>
      <t xml:space="preserve">  Characteristics of the alleged offenders should be treated cautiously for offence types that have low clear-up rates.</t>
    </r>
  </si>
  <si>
    <t>Alleged offender's gender</t>
  </si>
  <si>
    <t>Alleged offender's age</t>
  </si>
  <si>
    <t xml:space="preserve">Age and gender of alleged offenders^ proceeded against^^ by NSW Police for incidents of selected offences </t>
  </si>
  <si>
    <r>
      <rPr>
        <i/>
        <vertAlign val="superscript"/>
        <sz val="9"/>
        <rFont val="Arial"/>
        <family val="2"/>
      </rPr>
      <t>#</t>
    </r>
    <r>
      <rPr>
        <i/>
        <sz val="9"/>
        <rFont val="Arial"/>
        <family val="2"/>
      </rPr>
      <t xml:space="preserve">  Characteristics of the alleged offenders should be treated cautiously for offence types that have low clear-up rates.</t>
    </r>
  </si>
  <si>
    <t>No./%</t>
  </si>
  <si>
    <t>Definitions and explanations</t>
  </si>
  <si>
    <t>**  This table does not give a count of unique individuals.</t>
  </si>
  <si>
    <t>* The year the alleged offenders were proceeded against, rather than the year that the incident was recorded.</t>
  </si>
  <si>
    <t>** This table does not give a count of unique individuals.</t>
  </si>
  <si>
    <t>* Based on the year that the alleged offenders were proceeded against, rather than the year that the incident was recorded.</t>
  </si>
  <si>
    <t>Domestic violence related assault</t>
  </si>
  <si>
    <t>Non-domestic violence related assault</t>
  </si>
  <si>
    <t>^ Alleged offenders or persons of interest (POIs) are suspected offenders recorded by police in connection with a criminal incident. Some POIs are formally proceeded against to court and some are proceeded against other than to court whilst others are not proceeded against. The POIs included in the table above have all been proceeded against. POIs are not a count of unique offenders. Correspondingly, no person of interest information will be recorded for criminal incidents in which there is no known suspect. This is very common among incidents of property crime which have a low clear up rate. Each offender or alleged offender appears only once in the table for each event. Note that multiple criminal incidents may be associated with a single event. The processes are arranged in a hierarchy with the offender or alleged offender appearing in the most serious category where multiple incidents are involved.</t>
  </si>
  <si>
    <t xml:space="preserve">^ Each offender or alleged offender appears only once in the table for each event. Note that multiple criminal incidents may be associated with a single event. </t>
  </si>
  <si>
    <t xml:space="preserve">  The processes are arranged in a hierarchy with the offender or alleged offender appearing in the most serious category where multiple incidents are involved.</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</si>
  <si>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</si>
  <si>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</si>
  <si>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</si>
  <si>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</si>
  <si>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</si>
  <si>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</si>
  <si>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</si>
  <si>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 xml:space="preserve">Aboriginality of alleged offenders^ proceeded against* by NSW Police for incidents of selected offences </t>
  </si>
  <si>
    <t>Aboriginality of victims* of selected offences recorded by NSW Police</t>
  </si>
  <si>
    <t>Alleged offender's Aboriginality</t>
  </si>
  <si>
    <t>Aboriginal</t>
  </si>
  <si>
    <t>Victim's Aboriginality</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</si>
  <si>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</si>
  <si>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</si>
  <si>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</si>
  <si>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</si>
  <si>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</si>
  <si>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</si>
  <si>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</si>
  <si>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</si>
  <si>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</si>
  <si>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</si>
  <si>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</si>
  <si>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</si>
  <si>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</si>
  <si>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</si>
  <si>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</si>
  <si>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</si>
  <si>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</si>
  <si>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</si>
  <si>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</si>
  <si>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</si>
  <si>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</si>
  <si>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</si>
  <si>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</si>
  <si>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</si>
  <si>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</si>
  <si>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</si>
  <si>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</si>
  <si>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</si>
  <si>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</si>
  <si>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</si>
  <si>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</si>
  <si>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</si>
  <si>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</si>
  <si>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</si>
  <si>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</si>
  <si>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</si>
  <si>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</si>
  <si>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</si>
  <si>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</si>
  <si>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</si>
  <si>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</si>
  <si>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</si>
  <si>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</si>
  <si>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</si>
  <si>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</si>
  <si>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</si>
  <si>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</si>
  <si>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</si>
  <si>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</si>
  <si>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</si>
  <si>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</si>
  <si>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NSW Recorded Crime Statistics July 2015 - June 2025</t>
  </si>
  <si>
    <t>July 2024 - June 2025</t>
  </si>
  <si>
    <t>July 2015 - June 2016</t>
  </si>
  <si>
    <t>July 2016 - June 2017</t>
  </si>
  <si>
    <t>July 2017 - June 2018</t>
  </si>
  <si>
    <t>July 2018 - June 2019</t>
  </si>
  <si>
    <t>July 2019 - June 2020</t>
  </si>
  <si>
    <t>July 2020 - June 2021</t>
  </si>
  <si>
    <t>July 2021 - June 2022</t>
  </si>
  <si>
    <t>July 2022 - June 2023</t>
  </si>
  <si>
    <t>July 2023 - June 2024</t>
  </si>
  <si>
    <t>NSW Regional</t>
  </si>
  <si>
    <t>*    Ranks and rates are only calculated for Local Government Areas (LGAs) with populations of 3000 people or more (n = 120).</t>
  </si>
  <si>
    <t>Stable</t>
  </si>
  <si>
    <t xml:space="preserve">  </t>
  </si>
  <si>
    <t>nc**</t>
  </si>
  <si>
    <t>-</t>
  </si>
  <si>
    <t>NSW Recorded Crime Statistics July 2024 - June 2025</t>
  </si>
  <si>
    <t>na</t>
  </si>
  <si>
    <t>nc</t>
  </si>
  <si>
    <t>NSW Recorded Crime Statistics July 2024 -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</si>
</sst>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5">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i/>
      <vertAlign val="superscript"/>
      <sz val="10"/>
      <name val="Arial"/>
      <family val="2"/>
    </font>
    <font>
      <b/>
      <i/>
      <sz val="10"/>
      <name val="Arial"/>
      <family val="2"/>
    </font>
    <font>
      <sz val="10"/>
      <name val="Arial"/>
      <family val="2"/>
    </font>
    <font>
      <sz val="11"/>
      <color theme="1"/>
      <name val="Calibri"/>
      <family val="2"/>
      <scheme val="minor"/>
    </font>
    <font>
      <sz val="9"/>
      <color theme="1"/>
      <name val="Calibri"/>
      <family val="2"/>
      <scheme val="minor"/>
    </font>
    <font>
      <i/>
      <vertAlign val="superscript"/>
      <sz val="9"/>
      <name val="Arial"/>
      <family val="2"/>
    </font>
    <font>
      <i/>
      <sz val="10"/>
      <color theme="0"/>
      <name val="Arial"/>
      <family val="2"/>
    </font>
    <font>
      <u/>
      <sz val="10"/>
      <color theme="10"/>
      <name val="Arial"/>
      <family val="2"/>
    </font>
    <font>
      <u/>
      <sz val="16"/>
      <color theme="10"/>
      <name val="Arial"/>
      <family val="2"/>
    </font>
    <font>
      <u/>
      <sz val="12"/>
      <color theme="10"/>
      <name val="Arial"/>
      <family val="2"/>
    </font>
    <font>
      <sz val="10"/>
      <color theme="1"/>
      <name val="Arial"/>
      <family val="2"/>
    </font>
  </fonts>
  <fills count="3">
    <fill>
      <patternFill patternType="none"/>
    </fill>
    <fill>
      <patternFill patternType="gray125"/>
    </fill>
    <fill>
      <patternFill patternType="solid">
        <fgColor theme="8" tint="0.79998168889431442"/>
        <bgColor indexed="64"/>
      </patternFill>
    </fill>
  </fills>
  <borders count="13">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6" fillId="0" borderId="0"/>
    <xf numFmtId="0" fontId="17" fillId="0" borderId="0"/>
    <xf numFmtId="0" fontId="16" fillId="0" borderId="0"/>
    <xf numFmtId="0" fontId="16" fillId="0" borderId="0"/>
    <xf numFmtId="0" fontId="2" fillId="0" borderId="0"/>
    <xf numFmtId="0" fontId="2" fillId="0" borderId="0"/>
    <xf numFmtId="0" fontId="21" fillId="0" borderId="0" applyNumberFormat="0" applyFill="0" applyBorder="0" applyAlignment="0" applyProtection="0"/>
  </cellStyleXfs>
  <cellXfs count="153">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2" fillId="0" borderId="1" xfId="0" applyNumberFormat="1" applyFont="1" applyBorder="1" applyAlignment="1">
      <alignment horizontal="left"/>
    </xf>
    <xf numFmtId="49" fontId="12" fillId="0" borderId="3" xfId="0" applyNumberFormat="1" applyFont="1" applyBorder="1" applyAlignment="1">
      <alignment horizontal="left"/>
    </xf>
    <xf numFmtId="0" fontId="1" fillId="0" borderId="0" xfId="0" applyFont="1" applyAlignment="1">
      <alignment wrapText="1"/>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5"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0" fontId="1" fillId="0" borderId="3" xfId="0" applyFont="1" applyBorder="1" applyAlignment="1">
      <alignment wrapText="1"/>
    </xf>
    <xf numFmtId="0" fontId="16" fillId="0" borderId="0" xfId="2"/>
    <xf numFmtId="0" fontId="17" fillId="0" borderId="0" xfId="3"/>
    <xf numFmtId="0" fontId="3" fillId="0" borderId="0" xfId="2" applyFont="1"/>
    <xf numFmtId="0" fontId="2" fillId="0" borderId="0" xfId="2" applyFont="1"/>
    <xf numFmtId="0" fontId="1" fillId="0" borderId="3" xfId="2" applyFont="1" applyBorder="1" applyAlignment="1">
      <alignment wrapText="1"/>
    </xf>
    <xf numFmtId="49" fontId="1" fillId="2" borderId="3" xfId="2" applyNumberFormat="1" applyFont="1" applyFill="1" applyBorder="1" applyAlignment="1">
      <alignment horizontal="center" wrapText="1"/>
    </xf>
    <xf numFmtId="0" fontId="1" fillId="0" borderId="3" xfId="2" applyFont="1" applyBorder="1" applyAlignment="1">
      <alignment horizontal="center" wrapText="1" readingOrder="1"/>
    </xf>
    <xf numFmtId="49" fontId="1" fillId="0" borderId="3" xfId="2" applyNumberFormat="1" applyFont="1" applyBorder="1" applyAlignment="1">
      <alignment horizontal="center" wrapText="1"/>
    </xf>
    <xf numFmtId="49" fontId="2" fillId="0" borderId="0" xfId="2" applyNumberFormat="1" applyFont="1" applyAlignment="1">
      <alignment horizontal="left"/>
    </xf>
    <xf numFmtId="3" fontId="2" fillId="2" borderId="0" xfId="2" applyNumberFormat="1" applyFont="1" applyFill="1" applyAlignment="1">
      <alignment horizontal="right"/>
    </xf>
    <xf numFmtId="3" fontId="2" fillId="0" borderId="0" xfId="2" applyNumberFormat="1" applyFont="1" applyAlignment="1">
      <alignment horizontal="right"/>
    </xf>
    <xf numFmtId="49" fontId="12" fillId="0" borderId="4" xfId="2" applyNumberFormat="1" applyFont="1" applyBorder="1" applyAlignment="1">
      <alignment horizontal="left"/>
    </xf>
    <xf numFmtId="3" fontId="2" fillId="2" borderId="4" xfId="2" applyNumberFormat="1" applyFont="1" applyFill="1" applyBorder="1" applyAlignment="1">
      <alignment horizontal="right"/>
    </xf>
    <xf numFmtId="3" fontId="2" fillId="0" borderId="4" xfId="2" applyNumberFormat="1" applyFont="1" applyBorder="1" applyAlignment="1">
      <alignment horizontal="right"/>
    </xf>
    <xf numFmtId="0" fontId="6" fillId="0" borderId="0" xfId="4" applyFont="1" applyAlignment="1">
      <alignment horizontal="left" vertical="top" readingOrder="1"/>
    </xf>
    <xf numFmtId="0" fontId="18" fillId="0" borderId="0" xfId="3" applyFont="1"/>
    <xf numFmtId="0" fontId="3" fillId="0" borderId="0" xfId="5" applyFont="1"/>
    <xf numFmtId="0" fontId="13" fillId="0" borderId="0" xfId="5" applyFont="1"/>
    <xf numFmtId="0" fontId="13" fillId="0" borderId="2" xfId="5" applyFont="1" applyBorder="1"/>
    <xf numFmtId="49" fontId="1" fillId="2" borderId="3" xfId="5" applyNumberFormat="1" applyFont="1" applyFill="1" applyBorder="1" applyAlignment="1">
      <alignment horizontal="center" wrapText="1"/>
    </xf>
    <xf numFmtId="0" fontId="1" fillId="0" borderId="3" xfId="5" applyFont="1" applyBorder="1" applyAlignment="1">
      <alignment horizontal="center" wrapText="1" readingOrder="1"/>
    </xf>
    <xf numFmtId="49" fontId="1" fillId="2" borderId="0" xfId="5" applyNumberFormat="1" applyFont="1" applyFill="1" applyAlignment="1">
      <alignment horizontal="center" wrapText="1"/>
    </xf>
    <xf numFmtId="49" fontId="1" fillId="0" borderId="0" xfId="5" applyNumberFormat="1" applyFont="1" applyAlignment="1">
      <alignment horizontal="center" wrapText="1"/>
    </xf>
    <xf numFmtId="3" fontId="2" fillId="2" borderId="1" xfId="5" applyNumberFormat="1" applyFont="1" applyFill="1" applyBorder="1" applyAlignment="1">
      <alignment horizontal="right"/>
    </xf>
    <xf numFmtId="3" fontId="2" fillId="0" borderId="1" xfId="5" applyNumberFormat="1" applyFont="1" applyBorder="1" applyAlignment="1">
      <alignment horizontal="right"/>
    </xf>
    <xf numFmtId="3" fontId="2" fillId="2" borderId="0" xfId="5" applyNumberFormat="1" applyFont="1" applyFill="1" applyAlignment="1">
      <alignment horizontal="right"/>
    </xf>
    <xf numFmtId="3" fontId="2" fillId="0" borderId="0" xfId="5" applyNumberFormat="1" applyFont="1" applyAlignment="1">
      <alignment horizontal="right"/>
    </xf>
    <xf numFmtId="3" fontId="2" fillId="2" borderId="4" xfId="5" applyNumberFormat="1" applyFont="1" applyFill="1" applyBorder="1" applyAlignment="1">
      <alignment horizontal="right"/>
    </xf>
    <xf numFmtId="3" fontId="2" fillId="0" borderId="4" xfId="5" applyNumberFormat="1" applyFont="1" applyBorder="1" applyAlignment="1">
      <alignment horizontal="right"/>
    </xf>
    <xf numFmtId="49" fontId="2" fillId="0" borderId="0" xfId="5" applyNumberFormat="1" applyFont="1" applyAlignment="1">
      <alignment horizontal="left"/>
    </xf>
    <xf numFmtId="49" fontId="12" fillId="0" borderId="0" xfId="5" applyNumberFormat="1" applyFont="1" applyAlignment="1">
      <alignment horizontal="left"/>
    </xf>
    <xf numFmtId="3" fontId="2" fillId="0" borderId="0" xfId="5" applyNumberFormat="1" applyFont="1" applyAlignment="1">
      <alignment horizontal="center"/>
    </xf>
    <xf numFmtId="0" fontId="6" fillId="0" borderId="0" xfId="5" applyFont="1"/>
    <xf numFmtId="0" fontId="2" fillId="0" borderId="0" xfId="5" applyFont="1"/>
    <xf numFmtId="0" fontId="7" fillId="0" borderId="0" xfId="5" applyFont="1"/>
    <xf numFmtId="0" fontId="20" fillId="0" borderId="1" xfId="0" applyFont="1" applyBorder="1"/>
    <xf numFmtId="0" fontId="22" fillId="0" borderId="0" xfId="8" applyFont="1"/>
    <xf numFmtId="0" fontId="23" fillId="0" borderId="0" xfId="8" applyFont="1"/>
    <xf numFmtId="49" fontId="0" fillId="0" borderId="0" xfId="0" applyNumberFormat="1" applyAlignment="1">
      <alignment horizontal="left"/>
    </xf>
    <xf numFmtId="0" fontId="24" fillId="0" borderId="0" xfId="3" applyFont="1" applyAlignment="1">
      <alignment wrapText="1"/>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21"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7" xfId="0" applyFont="1" applyBorder="1"/>
    <xf numFmtId="0" fontId="1" fillId="0" borderId="5" xfId="0" applyFont="1" applyBorder="1" applyAlignment="1">
      <alignment horizontal="center" wrapText="1"/>
    </xf>
    <xf numFmtId="3" fontId="2" fillId="0" borderId="10" xfId="0" applyNumberFormat="1" applyFont="1" applyBorder="1" applyAlignment="1">
      <alignment horizontal="right"/>
    </xf>
    <xf numFmtId="3" fontId="2" fillId="0" borderId="8" xfId="0" applyNumberFormat="1" applyFont="1" applyBorder="1" applyAlignment="1">
      <alignment horizontal="right"/>
    </xf>
    <xf numFmtId="3" fontId="2" fillId="0" borderId="9" xfId="0" applyNumberFormat="1" applyFont="1" applyBorder="1" applyAlignment="1">
      <alignment horizontal="right"/>
    </xf>
    <xf numFmtId="3" fontId="2" fillId="0" borderId="5"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6" xfId="0" applyFont="1" applyBorder="1" applyAlignment="1">
      <alignment horizontal="center" wrapText="1"/>
    </xf>
    <xf numFmtId="164" fontId="2" fillId="0" borderId="11" xfId="0" applyNumberFormat="1" applyFont="1" applyBorder="1" applyAlignment="1">
      <alignment horizontal="right"/>
    </xf>
    <xf numFmtId="164" fontId="2" fillId="0" borderId="7" xfId="0" applyNumberFormat="1" applyFont="1" applyBorder="1" applyAlignment="1">
      <alignment horizontal="right"/>
    </xf>
    <xf numFmtId="164" fontId="2" fillId="0" borderId="6" xfId="0" applyNumberFormat="1" applyFont="1" applyBorder="1" applyAlignment="1">
      <alignment horizontal="right"/>
    </xf>
    <xf numFmtId="164" fontId="2" fillId="0" borderId="12" xfId="0" applyNumberFormat="1" applyFont="1" applyBorder="1" applyAlignment="1">
      <alignment horizontal="right"/>
    </xf>
    <xf numFmtId="3" fontId="2" fillId="0" borderId="11" xfId="0" applyNumberFormat="1" applyFont="1" applyBorder="1" applyAlignment="1">
      <alignment horizontal="right"/>
    </xf>
    <xf numFmtId="3" fontId="2" fillId="0" borderId="7" xfId="0" applyNumberFormat="1" applyFont="1" applyBorder="1" applyAlignment="1">
      <alignment horizontal="right"/>
    </xf>
    <xf numFmtId="3" fontId="2" fillId="0" borderId="6" xfId="0" applyNumberFormat="1" applyFont="1" applyBorder="1" applyAlignment="1">
      <alignment horizontal="right"/>
    </xf>
    <xf numFmtId="3" fontId="2" fillId="0" borderId="12" xfId="0" applyNumberFormat="1" applyFont="1" applyBorder="1" applyAlignment="1">
      <alignment horizontal="right"/>
    </xf>
    <xf numFmtId="164" fontId="2" fillId="0" borderId="10" xfId="0" applyNumberFormat="1" applyFont="1" applyBorder="1" applyAlignment="1">
      <alignment horizontal="right"/>
    </xf>
    <xf numFmtId="164" fontId="2" fillId="0" borderId="8" xfId="0" applyNumberFormat="1" applyFont="1" applyBorder="1" applyAlignment="1">
      <alignment horizontal="right"/>
    </xf>
    <xf numFmtId="164" fontId="2" fillId="0" borderId="9" xfId="0" applyNumberFormat="1" applyFont="1" applyBorder="1" applyAlignment="1">
      <alignment horizontal="right"/>
    </xf>
    <xf numFmtId="164" fontId="2" fillId="0" borderId="5" xfId="0" applyNumberFormat="1" applyFont="1" applyBorder="1" applyAlignment="1">
      <alignment horizontal="right"/>
    </xf>
    <xf numFmtId="0" fontId="20" fillId="0" borderId="10" xfId="0" applyFont="1" applyBorder="1" applyAlignment="1">
      <alignment horizontal="center" wrapText="1"/>
    </xf>
    <xf numFmtId="0" fontId="15" fillId="0" borderId="5" xfId="1" applyFont="1" applyBorder="1" applyAlignment="1">
      <alignment horizontal="center"/>
    </xf>
    <xf numFmtId="0" fontId="15" fillId="0" borderId="3" xfId="1" applyFont="1" applyBorder="1" applyAlignment="1">
      <alignment horizontal="center"/>
    </xf>
    <xf numFmtId="0" fontId="15" fillId="0" borderId="6" xfId="1" applyFont="1" applyBorder="1" applyAlignment="1">
      <alignment horizontal="center"/>
    </xf>
    <xf numFmtId="0" fontId="1" fillId="0" borderId="0" xfId="0" applyFont="1" applyAlignment="1">
      <alignment horizontal="left" wrapText="1"/>
    </xf>
    <xf numFmtId="0" fontId="24" fillId="0" borderId="0" xfId="3" applyFont="1" applyAlignment="1">
      <alignment horizont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75"/>
  <cols>
    <col min="1" max="1" width="34.28515625" style="4" customWidth="1"/>
    <col min="2" max="2" width="58.140625" style="4" customWidth="1"/>
    <col min="3" max="3" width="13" style="4" customWidth="1"/>
    <col min="4" max="4" width="14" style="4" customWidth="1"/>
    <col min="5" max="6" width="13" style="4" customWidth="1"/>
    <col min="7" max="9" width="11.5703125" style="4" customWidth="1"/>
    <col min="10" max="26" width="11.42578125" style="4" customWidth="1"/>
    <col min="27" max="16384" width="9" style="4"/>
  </cols>
  <sheetData>
    <row r="1" spans="1:26" ht="24.4" customHeight="1">
      <c r="A1" s="2" t="s">
        <v>197</v>
      </c>
      <c r="C1" s="145" t="s">
        <v>198</v>
      </c>
      <c r="D1" s="111" t="s">
        <v>124</v>
      </c>
    </row>
    <row r="2" spans="1:26" ht="12.95"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July 2024 - June 2025</v>
      </c>
    </row>
    <row r="4" spans="1:26" ht="13.15" customHeight="1">
      <c r="A4" s="73"/>
    </row>
    <row r="5" spans="1:26" ht="21.75" customHeight="1">
      <c r="A5" s="1" t="s">
        <v>208</v>
      </c>
    </row>
    <row r="6" spans="1:26" ht="19.7" customHeight="1">
      <c r="A6" s="37"/>
      <c r="B6" s="37"/>
      <c r="C6" s="37"/>
      <c r="D6" s="37"/>
      <c r="E6" s="37"/>
      <c r="F6" s="124"/>
      <c r="G6" s="146" t="s">
        <v>2</v>
      </c>
      <c r="H6" s="147"/>
      <c r="I6" s="147"/>
      <c r="J6" s="147"/>
      <c r="K6" s="147"/>
      <c r="L6" s="147"/>
      <c r="M6" s="147"/>
      <c r="N6" s="147"/>
      <c r="O6" s="147"/>
      <c r="P6" s="148"/>
      <c r="Q6" s="146" t="s">
        <v>3</v>
      </c>
      <c r="R6" s="147"/>
      <c r="S6" s="147"/>
      <c r="T6" s="147"/>
      <c r="U6" s="147"/>
      <c r="V6" s="147"/>
      <c r="W6" s="147"/>
      <c r="X6" s="147"/>
      <c r="Y6" s="147"/>
      <c r="Z6" s="148"/>
    </row>
    <row r="7" spans="1:26" ht="51">
      <c r="A7" s="130" t="s">
        <v>0</v>
      </c>
      <c r="B7" s="130" t="s">
        <v>1</v>
      </c>
      <c r="C7" s="38" t="s">
        <v>152</v>
      </c>
      <c r="D7" s="38" t="s">
        <v>151</v>
      </c>
      <c r="E7" s="131" t="str">
        <f>$C1&amp;" LGA Rank*"</f>
        <v>July 2024 - June 2025 LGA Rank*</v>
      </c>
      <c r="F7" s="131" t="str">
        <f>$C1&amp;" LGA Ratio to NSW Rate~"</f>
        <v>July 2024 - June 2025 LGA Ratio to NSW Rate~</v>
      </c>
      <c r="G7" s="125" t="s">
        <v>199</v>
      </c>
      <c r="H7" s="131" t="s">
        <v>200</v>
      </c>
      <c r="I7" s="131" t="s">
        <v>201</v>
      </c>
      <c r="J7" s="131" t="s">
        <v>202</v>
      </c>
      <c r="K7" s="131" t="s">
        <v>203</v>
      </c>
      <c r="L7" s="131" t="s">
        <v>204</v>
      </c>
      <c r="M7" s="131" t="s">
        <v>205</v>
      </c>
      <c r="N7" s="131" t="s">
        <v>206</v>
      </c>
      <c r="O7" s="131" t="s">
        <v>207</v>
      </c>
      <c r="P7" s="132" t="s">
        <v>198</v>
      </c>
      <c r="Q7" s="125" t="s">
        <v>199</v>
      </c>
      <c r="R7" s="131" t="s">
        <v>200</v>
      </c>
      <c r="S7" s="131" t="s">
        <v>201</v>
      </c>
      <c r="T7" s="131" t="s">
        <v>202</v>
      </c>
      <c r="U7" s="131" t="s">
        <v>203</v>
      </c>
      <c r="V7" s="131" t="s">
        <v>204</v>
      </c>
      <c r="W7" s="131" t="s">
        <v>205</v>
      </c>
      <c r="X7" s="131" t="s">
        <v>206</v>
      </c>
      <c r="Y7" s="131" t="s">
        <v>207</v>
      </c>
      <c r="Z7" s="132" t="s">
        <v>198</v>
      </c>
    </row>
    <row r="8" spans="1:26" ht="25.35" customHeight="1">
      <c r="A8" s="5" t="s">
        <v>158</v>
      </c>
      <c r="B8" s="5" t="s">
        <v>159</v>
      </c>
      <c r="C8" s="8" t="s">
        <v>210</v>
      </c>
      <c r="D8" s="8" t="s">
        <v>210</v>
      </c>
      <c r="E8" s="119" t="s">
        <v>211</v>
      </c>
      <c r="F8" s="44">
        <v>1</v>
      </c>
      <c r="G8" s="126">
        <v>20</v>
      </c>
      <c r="H8" s="7">
        <v>26</v>
      </c>
      <c r="I8" s="7">
        <v>21</v>
      </c>
      <c r="J8" s="7">
        <v>37</v>
      </c>
      <c r="K8" s="7">
        <v>29</v>
      </c>
      <c r="L8" s="7">
        <v>24</v>
      </c>
      <c r="M8" s="7">
        <v>26</v>
      </c>
      <c r="N8" s="7">
        <v>25</v>
      </c>
      <c r="O8" s="7">
        <v>33</v>
      </c>
      <c r="P8" s="137">
        <v>26</v>
      </c>
      <c r="Q8" s="141">
        <v>0.7</v>
      </c>
      <c r="R8" s="25">
        <v>1</v>
      </c>
      <c r="S8" s="25">
        <v>0.8</v>
      </c>
      <c r="T8" s="25">
        <v>1.3</v>
      </c>
      <c r="U8" s="25">
        <v>1</v>
      </c>
      <c r="V8" s="25">
        <v>0.8</v>
      </c>
      <c r="W8" s="25">
        <v>0.9</v>
      </c>
      <c r="X8" s="25">
        <v>0.9</v>
      </c>
      <c r="Y8" s="25">
        <v>1.1000000000000001</v>
      </c>
      <c r="Z8" s="133">
        <v>0.9</v>
      </c>
    </row>
    <row r="9" spans="1:26" ht="25.35" customHeight="1">
      <c r="A9" s="5"/>
      <c r="B9" s="113" t="s">
        <v>129</v>
      </c>
      <c r="C9" s="8" t="s">
        <v>210</v>
      </c>
      <c r="D9" s="8">
        <v>3.6999999999999998E-2</v>
      </c>
      <c r="E9" s="119" t="s">
        <v>211</v>
      </c>
      <c r="F9" s="44">
        <v>1.4</v>
      </c>
      <c r="G9" s="127">
        <v>13049</v>
      </c>
      <c r="H9" s="7">
        <v>12534</v>
      </c>
      <c r="I9" s="7">
        <v>12559</v>
      </c>
      <c r="J9" s="7">
        <v>13257</v>
      </c>
      <c r="K9" s="7">
        <v>13854</v>
      </c>
      <c r="L9" s="7">
        <v>14856</v>
      </c>
      <c r="M9" s="7">
        <v>14801</v>
      </c>
      <c r="N9" s="7">
        <v>16465</v>
      </c>
      <c r="O9" s="7">
        <v>17580</v>
      </c>
      <c r="P9" s="137">
        <v>18019</v>
      </c>
      <c r="Q9" s="142">
        <v>481.9</v>
      </c>
      <c r="R9" s="25">
        <v>458.9</v>
      </c>
      <c r="S9" s="25">
        <v>455.9</v>
      </c>
      <c r="T9" s="25">
        <v>477.3</v>
      </c>
      <c r="U9" s="25">
        <v>493.1</v>
      </c>
      <c r="V9" s="25">
        <v>524</v>
      </c>
      <c r="W9" s="25">
        <v>517</v>
      </c>
      <c r="X9" s="25">
        <v>569.4</v>
      </c>
      <c r="Y9" s="25">
        <v>607.9</v>
      </c>
      <c r="Z9" s="133">
        <v>623.1</v>
      </c>
    </row>
    <row r="10" spans="1:26" ht="25.35" customHeight="1">
      <c r="A10" s="5"/>
      <c r="B10" s="113" t="s">
        <v>130</v>
      </c>
      <c r="C10" s="8" t="s">
        <v>210</v>
      </c>
      <c r="D10" s="8">
        <v>1.0999999999999999E-2</v>
      </c>
      <c r="E10" s="119" t="s">
        <v>211</v>
      </c>
      <c r="F10" s="44">
        <v>1.2</v>
      </c>
      <c r="G10" s="127">
        <v>12810</v>
      </c>
      <c r="H10" s="7">
        <v>12944</v>
      </c>
      <c r="I10" s="7">
        <v>12903</v>
      </c>
      <c r="J10" s="7">
        <v>12500</v>
      </c>
      <c r="K10" s="7">
        <v>11842</v>
      </c>
      <c r="L10" s="7">
        <v>13338</v>
      </c>
      <c r="M10" s="7">
        <v>12570</v>
      </c>
      <c r="N10" s="7">
        <v>14083</v>
      </c>
      <c r="O10" s="7">
        <v>14685</v>
      </c>
      <c r="P10" s="137">
        <v>14104</v>
      </c>
      <c r="Q10" s="142">
        <v>473.1</v>
      </c>
      <c r="R10" s="25">
        <v>474</v>
      </c>
      <c r="S10" s="25">
        <v>468.3</v>
      </c>
      <c r="T10" s="25">
        <v>450.1</v>
      </c>
      <c r="U10" s="25">
        <v>421.5</v>
      </c>
      <c r="V10" s="25">
        <v>470.4</v>
      </c>
      <c r="W10" s="25">
        <v>439.1</v>
      </c>
      <c r="X10" s="25">
        <v>487</v>
      </c>
      <c r="Y10" s="25">
        <v>507.8</v>
      </c>
      <c r="Z10" s="133">
        <v>487.7</v>
      </c>
    </row>
    <row r="11" spans="1:26" ht="25.35" customHeight="1">
      <c r="A11" s="5"/>
      <c r="B11" s="5" t="s">
        <v>160</v>
      </c>
      <c r="C11" s="8" t="s">
        <v>210</v>
      </c>
      <c r="D11" s="8">
        <v>8.3000000000000004E-2</v>
      </c>
      <c r="E11" s="119" t="s">
        <v>211</v>
      </c>
      <c r="F11" s="44">
        <v>1.3</v>
      </c>
      <c r="G11" s="127">
        <v>2637</v>
      </c>
      <c r="H11" s="7">
        <v>2757</v>
      </c>
      <c r="I11" s="7">
        <v>2940</v>
      </c>
      <c r="J11" s="7">
        <v>2833</v>
      </c>
      <c r="K11" s="7">
        <v>3333</v>
      </c>
      <c r="L11" s="7">
        <v>4081</v>
      </c>
      <c r="M11" s="7">
        <v>4076</v>
      </c>
      <c r="N11" s="7">
        <v>4576</v>
      </c>
      <c r="O11" s="7">
        <v>5344</v>
      </c>
      <c r="P11" s="137">
        <v>5394</v>
      </c>
      <c r="Q11" s="142">
        <v>97.4</v>
      </c>
      <c r="R11" s="25">
        <v>101</v>
      </c>
      <c r="S11" s="25">
        <v>106.7</v>
      </c>
      <c r="T11" s="25">
        <v>102</v>
      </c>
      <c r="U11" s="25">
        <v>118.6</v>
      </c>
      <c r="V11" s="25">
        <v>143.9</v>
      </c>
      <c r="W11" s="25">
        <v>142.4</v>
      </c>
      <c r="X11" s="25">
        <v>158.19999999999999</v>
      </c>
      <c r="Y11" s="25">
        <v>184.8</v>
      </c>
      <c r="Z11" s="133">
        <v>186.5</v>
      </c>
    </row>
    <row r="12" spans="1:26" ht="25.35" customHeight="1">
      <c r="A12" s="5"/>
      <c r="B12" s="5" t="s">
        <v>161</v>
      </c>
      <c r="C12" s="8" t="s">
        <v>210</v>
      </c>
      <c r="D12" s="8">
        <v>2.1000000000000001E-2</v>
      </c>
      <c r="E12" s="119" t="s">
        <v>211</v>
      </c>
      <c r="F12" s="44">
        <v>1.3</v>
      </c>
      <c r="G12" s="127">
        <v>3317</v>
      </c>
      <c r="H12" s="7">
        <v>3251</v>
      </c>
      <c r="I12" s="7">
        <v>3477</v>
      </c>
      <c r="J12" s="7">
        <v>3705</v>
      </c>
      <c r="K12" s="7">
        <v>3761</v>
      </c>
      <c r="L12" s="7">
        <v>3847</v>
      </c>
      <c r="M12" s="7">
        <v>3594</v>
      </c>
      <c r="N12" s="7">
        <v>3553</v>
      </c>
      <c r="O12" s="7">
        <v>3974</v>
      </c>
      <c r="P12" s="137">
        <v>4002</v>
      </c>
      <c r="Q12" s="142">
        <v>122.5</v>
      </c>
      <c r="R12" s="25">
        <v>119</v>
      </c>
      <c r="S12" s="25">
        <v>126.2</v>
      </c>
      <c r="T12" s="25">
        <v>133.4</v>
      </c>
      <c r="U12" s="25">
        <v>133.9</v>
      </c>
      <c r="V12" s="25">
        <v>135.69999999999999</v>
      </c>
      <c r="W12" s="25">
        <v>125.5</v>
      </c>
      <c r="X12" s="25">
        <v>122.9</v>
      </c>
      <c r="Y12" s="25">
        <v>137.4</v>
      </c>
      <c r="Z12" s="133">
        <v>138.4</v>
      </c>
    </row>
    <row r="13" spans="1:26" ht="25.35" customHeight="1">
      <c r="A13" s="5"/>
      <c r="B13" s="5" t="s">
        <v>40</v>
      </c>
      <c r="C13" s="8">
        <v>-0.15</v>
      </c>
      <c r="D13" s="8" t="s">
        <v>210</v>
      </c>
      <c r="E13" s="119" t="s">
        <v>211</v>
      </c>
      <c r="F13" s="44">
        <v>0.9</v>
      </c>
      <c r="G13" s="127">
        <v>658</v>
      </c>
      <c r="H13" s="7">
        <v>653</v>
      </c>
      <c r="I13" s="7">
        <v>706</v>
      </c>
      <c r="J13" s="7">
        <v>706</v>
      </c>
      <c r="K13" s="7">
        <v>660</v>
      </c>
      <c r="L13" s="7">
        <v>665</v>
      </c>
      <c r="M13" s="7">
        <v>577</v>
      </c>
      <c r="N13" s="7">
        <v>740</v>
      </c>
      <c r="O13" s="7">
        <v>681</v>
      </c>
      <c r="P13" s="137">
        <v>579</v>
      </c>
      <c r="Q13" s="142">
        <v>24.3</v>
      </c>
      <c r="R13" s="25">
        <v>23.9</v>
      </c>
      <c r="S13" s="25">
        <v>25.6</v>
      </c>
      <c r="T13" s="25">
        <v>25.4</v>
      </c>
      <c r="U13" s="25">
        <v>23.5</v>
      </c>
      <c r="V13" s="25">
        <v>23.5</v>
      </c>
      <c r="W13" s="25">
        <v>20.2</v>
      </c>
      <c r="X13" s="25">
        <v>25.6</v>
      </c>
      <c r="Y13" s="25">
        <v>23.5</v>
      </c>
      <c r="Z13" s="133">
        <v>20</v>
      </c>
    </row>
    <row r="14" spans="1:26" ht="25.35" customHeight="1">
      <c r="A14" s="5"/>
      <c r="B14" s="5" t="s">
        <v>4</v>
      </c>
      <c r="C14" s="8">
        <v>-0.153</v>
      </c>
      <c r="D14" s="8">
        <v>-4.7E-2</v>
      </c>
      <c r="E14" s="119" t="s">
        <v>211</v>
      </c>
      <c r="F14" s="44">
        <v>1.5</v>
      </c>
      <c r="G14" s="127">
        <v>14937</v>
      </c>
      <c r="H14" s="7">
        <v>14378</v>
      </c>
      <c r="I14" s="7">
        <v>13396</v>
      </c>
      <c r="J14" s="7">
        <v>12979</v>
      </c>
      <c r="K14" s="7">
        <v>11814</v>
      </c>
      <c r="L14" s="7">
        <v>9959</v>
      </c>
      <c r="M14" s="7">
        <v>9643</v>
      </c>
      <c r="N14" s="7">
        <v>10567</v>
      </c>
      <c r="O14" s="7">
        <v>11412</v>
      </c>
      <c r="P14" s="137">
        <v>9669</v>
      </c>
      <c r="Q14" s="142">
        <v>551.6</v>
      </c>
      <c r="R14" s="25">
        <v>526.5</v>
      </c>
      <c r="S14" s="25">
        <v>486.2</v>
      </c>
      <c r="T14" s="25">
        <v>467.3</v>
      </c>
      <c r="U14" s="25">
        <v>420.5</v>
      </c>
      <c r="V14" s="25">
        <v>351.3</v>
      </c>
      <c r="W14" s="25">
        <v>336.8</v>
      </c>
      <c r="X14" s="25">
        <v>365.4</v>
      </c>
      <c r="Y14" s="25">
        <v>394.6</v>
      </c>
      <c r="Z14" s="133">
        <v>334.4</v>
      </c>
    </row>
    <row r="15" spans="1:26" ht="25.35" customHeight="1">
      <c r="A15" s="5"/>
      <c r="B15" s="5" t="s">
        <v>5</v>
      </c>
      <c r="C15" s="8">
        <v>-7.4999999999999997E-2</v>
      </c>
      <c r="D15" s="8">
        <v>-3.6999999999999998E-2</v>
      </c>
      <c r="E15" s="119" t="s">
        <v>211</v>
      </c>
      <c r="F15" s="44">
        <v>1.7</v>
      </c>
      <c r="G15" s="127">
        <v>6581</v>
      </c>
      <c r="H15" s="7">
        <v>6294</v>
      </c>
      <c r="I15" s="7">
        <v>5968</v>
      </c>
      <c r="J15" s="7">
        <v>5659</v>
      </c>
      <c r="K15" s="7">
        <v>5243</v>
      </c>
      <c r="L15" s="7">
        <v>4273</v>
      </c>
      <c r="M15" s="7">
        <v>4457</v>
      </c>
      <c r="N15" s="7">
        <v>4971</v>
      </c>
      <c r="O15" s="7">
        <v>5084</v>
      </c>
      <c r="P15" s="137">
        <v>4701</v>
      </c>
      <c r="Q15" s="142">
        <v>243</v>
      </c>
      <c r="R15" s="25">
        <v>230.5</v>
      </c>
      <c r="S15" s="25">
        <v>216.6</v>
      </c>
      <c r="T15" s="25">
        <v>203.8</v>
      </c>
      <c r="U15" s="25">
        <v>186.6</v>
      </c>
      <c r="V15" s="25">
        <v>150.69999999999999</v>
      </c>
      <c r="W15" s="25">
        <v>155.69999999999999</v>
      </c>
      <c r="X15" s="25">
        <v>171.9</v>
      </c>
      <c r="Y15" s="25">
        <v>175.8</v>
      </c>
      <c r="Z15" s="133">
        <v>162.6</v>
      </c>
    </row>
    <row r="16" spans="1:26" ht="25.35" customHeight="1">
      <c r="A16" s="5"/>
      <c r="B16" s="5" t="s">
        <v>6</v>
      </c>
      <c r="C16" s="8" t="s">
        <v>210</v>
      </c>
      <c r="D16" s="8">
        <v>3.2000000000000001E-2</v>
      </c>
      <c r="E16" s="119" t="s">
        <v>211</v>
      </c>
      <c r="F16" s="44">
        <v>1.4</v>
      </c>
      <c r="G16" s="127">
        <v>5564</v>
      </c>
      <c r="H16" s="7">
        <v>5997</v>
      </c>
      <c r="I16" s="7">
        <v>5838</v>
      </c>
      <c r="J16" s="7">
        <v>6220</v>
      </c>
      <c r="K16" s="7">
        <v>5897</v>
      </c>
      <c r="L16" s="7">
        <v>5390</v>
      </c>
      <c r="M16" s="7">
        <v>5903</v>
      </c>
      <c r="N16" s="7">
        <v>6975</v>
      </c>
      <c r="O16" s="7">
        <v>7779</v>
      </c>
      <c r="P16" s="137">
        <v>7361</v>
      </c>
      <c r="Q16" s="142">
        <v>205.5</v>
      </c>
      <c r="R16" s="25">
        <v>219.6</v>
      </c>
      <c r="S16" s="25">
        <v>211.9</v>
      </c>
      <c r="T16" s="25">
        <v>224</v>
      </c>
      <c r="U16" s="25">
        <v>209.9</v>
      </c>
      <c r="V16" s="25">
        <v>190.1</v>
      </c>
      <c r="W16" s="25">
        <v>206.2</v>
      </c>
      <c r="X16" s="25">
        <v>241.2</v>
      </c>
      <c r="Y16" s="25">
        <v>269</v>
      </c>
      <c r="Z16" s="133">
        <v>254.5</v>
      </c>
    </row>
    <row r="17" spans="1:26" ht="25.35" customHeight="1">
      <c r="A17" s="5"/>
      <c r="B17" s="5" t="s">
        <v>7</v>
      </c>
      <c r="C17" s="8">
        <v>-0.158</v>
      </c>
      <c r="D17" s="8">
        <v>-4.4999999999999998E-2</v>
      </c>
      <c r="E17" s="119" t="s">
        <v>211</v>
      </c>
      <c r="F17" s="44">
        <v>1.3</v>
      </c>
      <c r="G17" s="127">
        <v>17364</v>
      </c>
      <c r="H17" s="7">
        <v>17581</v>
      </c>
      <c r="I17" s="7">
        <v>16751</v>
      </c>
      <c r="J17" s="7">
        <v>16513</v>
      </c>
      <c r="K17" s="7">
        <v>14212</v>
      </c>
      <c r="L17" s="7">
        <v>12483</v>
      </c>
      <c r="M17" s="7">
        <v>13194</v>
      </c>
      <c r="N17" s="7">
        <v>13540</v>
      </c>
      <c r="O17" s="7">
        <v>13578</v>
      </c>
      <c r="P17" s="137">
        <v>11433</v>
      </c>
      <c r="Q17" s="142">
        <v>641.20000000000005</v>
      </c>
      <c r="R17" s="25">
        <v>643.79999999999995</v>
      </c>
      <c r="S17" s="25">
        <v>608</v>
      </c>
      <c r="T17" s="25">
        <v>594.6</v>
      </c>
      <c r="U17" s="25">
        <v>505.9</v>
      </c>
      <c r="V17" s="25">
        <v>440.3</v>
      </c>
      <c r="W17" s="25">
        <v>460.9</v>
      </c>
      <c r="X17" s="25">
        <v>468.2</v>
      </c>
      <c r="Y17" s="25">
        <v>469.5</v>
      </c>
      <c r="Z17" s="133">
        <v>395.4</v>
      </c>
    </row>
    <row r="18" spans="1:26" ht="25.35" customHeight="1">
      <c r="A18" s="5"/>
      <c r="B18" s="5" t="s">
        <v>8</v>
      </c>
      <c r="C18" s="8" t="s">
        <v>210</v>
      </c>
      <c r="D18" s="8">
        <v>3.3000000000000002E-2</v>
      </c>
      <c r="E18" s="119" t="s">
        <v>211</v>
      </c>
      <c r="F18" s="44">
        <v>1.1000000000000001</v>
      </c>
      <c r="G18" s="127">
        <v>8551</v>
      </c>
      <c r="H18" s="7">
        <v>8696</v>
      </c>
      <c r="I18" s="7">
        <v>8914</v>
      </c>
      <c r="J18" s="7">
        <v>9742</v>
      </c>
      <c r="K18" s="7">
        <v>8699</v>
      </c>
      <c r="L18" s="7">
        <v>6910</v>
      </c>
      <c r="M18" s="7">
        <v>6674</v>
      </c>
      <c r="N18" s="7">
        <v>9037</v>
      </c>
      <c r="O18" s="7">
        <v>11534</v>
      </c>
      <c r="P18" s="137">
        <v>11428</v>
      </c>
      <c r="Q18" s="142">
        <v>315.8</v>
      </c>
      <c r="R18" s="25">
        <v>318.39999999999998</v>
      </c>
      <c r="S18" s="25">
        <v>323.5</v>
      </c>
      <c r="T18" s="25">
        <v>350.8</v>
      </c>
      <c r="U18" s="25">
        <v>309.60000000000002</v>
      </c>
      <c r="V18" s="25">
        <v>243.7</v>
      </c>
      <c r="W18" s="25">
        <v>233.1</v>
      </c>
      <c r="X18" s="25">
        <v>312.5</v>
      </c>
      <c r="Y18" s="25">
        <v>398.9</v>
      </c>
      <c r="Z18" s="133">
        <v>395.2</v>
      </c>
    </row>
    <row r="19" spans="1:26" ht="25.35" customHeight="1">
      <c r="A19" s="5"/>
      <c r="B19" s="5" t="s">
        <v>162</v>
      </c>
      <c r="C19" s="8" t="s">
        <v>210</v>
      </c>
      <c r="D19" s="8">
        <v>-4.8000000000000001E-2</v>
      </c>
      <c r="E19" s="119" t="s">
        <v>211</v>
      </c>
      <c r="F19" s="44">
        <v>1.1000000000000001</v>
      </c>
      <c r="G19" s="127">
        <v>23514</v>
      </c>
      <c r="H19" s="7">
        <v>22483</v>
      </c>
      <c r="I19" s="7">
        <v>21372</v>
      </c>
      <c r="J19" s="7">
        <v>21323</v>
      </c>
      <c r="K19" s="7">
        <v>19897</v>
      </c>
      <c r="L19" s="7">
        <v>17009</v>
      </c>
      <c r="M19" s="7">
        <v>15425</v>
      </c>
      <c r="N19" s="7">
        <v>15443</v>
      </c>
      <c r="O19" s="7">
        <v>16177</v>
      </c>
      <c r="P19" s="137">
        <v>15155</v>
      </c>
      <c r="Q19" s="142">
        <v>868.3</v>
      </c>
      <c r="R19" s="25">
        <v>823.2</v>
      </c>
      <c r="S19" s="25">
        <v>775.7</v>
      </c>
      <c r="T19" s="25">
        <v>767.8</v>
      </c>
      <c r="U19" s="25">
        <v>708.2</v>
      </c>
      <c r="V19" s="25">
        <v>599.9</v>
      </c>
      <c r="W19" s="25">
        <v>538.79999999999995</v>
      </c>
      <c r="X19" s="25">
        <v>534</v>
      </c>
      <c r="Y19" s="25">
        <v>559.4</v>
      </c>
      <c r="Z19" s="133">
        <v>524.1</v>
      </c>
    </row>
    <row r="20" spans="1:26" ht="25.35" customHeight="1">
      <c r="A20" s="3"/>
      <c r="B20" s="3" t="s">
        <v>12</v>
      </c>
      <c r="C20" s="13">
        <v>-7.3999999999999996E-2</v>
      </c>
      <c r="D20" s="13">
        <v>-2.8000000000000001E-2</v>
      </c>
      <c r="E20" s="120" t="s">
        <v>211</v>
      </c>
      <c r="F20" s="44">
        <v>1.4</v>
      </c>
      <c r="G20" s="128">
        <v>29738</v>
      </c>
      <c r="H20" s="11">
        <v>29556</v>
      </c>
      <c r="I20" s="11">
        <v>28507</v>
      </c>
      <c r="J20" s="11">
        <v>26518</v>
      </c>
      <c r="K20" s="11">
        <v>25740</v>
      </c>
      <c r="L20" s="11">
        <v>25888</v>
      </c>
      <c r="M20" s="11">
        <v>24508</v>
      </c>
      <c r="N20" s="11">
        <v>24717</v>
      </c>
      <c r="O20" s="11">
        <v>24848</v>
      </c>
      <c r="P20" s="138">
        <v>23012</v>
      </c>
      <c r="Q20" s="143">
        <v>1098.2</v>
      </c>
      <c r="R20" s="12">
        <v>1082.2</v>
      </c>
      <c r="S20" s="12">
        <v>1034.7</v>
      </c>
      <c r="T20" s="12">
        <v>954.8</v>
      </c>
      <c r="U20" s="12">
        <v>916.2</v>
      </c>
      <c r="V20" s="12">
        <v>913.1</v>
      </c>
      <c r="W20" s="12">
        <v>856.1</v>
      </c>
      <c r="X20" s="12">
        <v>854.7</v>
      </c>
      <c r="Y20" s="12">
        <v>859.3</v>
      </c>
      <c r="Z20" s="134">
        <v>795.8</v>
      </c>
    </row>
    <row r="21" spans="1:26" ht="25.35" customHeight="1">
      <c r="A21" s="5" t="s">
        <v>163</v>
      </c>
      <c r="B21" s="5" t="s">
        <v>164</v>
      </c>
      <c r="C21" s="8" t="s">
        <v>212</v>
      </c>
      <c r="D21" s="8" t="s">
        <v>212</v>
      </c>
      <c r="E21" s="119" t="s">
        <v>211</v>
      </c>
      <c r="F21" s="122">
        <v>1</v>
      </c>
      <c r="G21" s="127">
        <v>5</v>
      </c>
      <c r="H21" s="7">
        <v>11</v>
      </c>
      <c r="I21" s="7">
        <v>5</v>
      </c>
      <c r="J21" s="7">
        <v>9</v>
      </c>
      <c r="K21" s="7">
        <v>5</v>
      </c>
      <c r="L21" s="7">
        <v>10</v>
      </c>
      <c r="M21" s="7">
        <v>4</v>
      </c>
      <c r="N21" s="7">
        <v>4</v>
      </c>
      <c r="O21" s="7">
        <v>1</v>
      </c>
      <c r="P21" s="137">
        <v>6</v>
      </c>
      <c r="Q21" s="142">
        <v>0.2</v>
      </c>
      <c r="R21" s="25">
        <v>0.4</v>
      </c>
      <c r="S21" s="25">
        <v>0.2</v>
      </c>
      <c r="T21" s="25">
        <v>0.3</v>
      </c>
      <c r="U21" s="25">
        <v>0.2</v>
      </c>
      <c r="V21" s="25">
        <v>0.4</v>
      </c>
      <c r="W21" s="25">
        <v>0.1</v>
      </c>
      <c r="X21" s="25">
        <v>0.1</v>
      </c>
      <c r="Y21" s="25">
        <v>0</v>
      </c>
      <c r="Z21" s="133">
        <v>0.2</v>
      </c>
    </row>
    <row r="22" spans="1:26" ht="25.35" customHeight="1">
      <c r="A22" s="5"/>
      <c r="B22" s="5" t="s">
        <v>165</v>
      </c>
      <c r="C22" s="8" t="s">
        <v>212</v>
      </c>
      <c r="D22" s="8" t="s">
        <v>212</v>
      </c>
      <c r="E22" s="119" t="s">
        <v>211</v>
      </c>
      <c r="F22" s="44" t="s">
        <v>213</v>
      </c>
      <c r="G22" s="127">
        <v>2</v>
      </c>
      <c r="H22" s="7">
        <v>2</v>
      </c>
      <c r="I22" s="7">
        <v>1</v>
      </c>
      <c r="J22" s="7">
        <v>1</v>
      </c>
      <c r="K22" s="7">
        <v>0</v>
      </c>
      <c r="L22" s="7">
        <v>0</v>
      </c>
      <c r="M22" s="7">
        <v>1</v>
      </c>
      <c r="N22" s="7">
        <v>0</v>
      </c>
      <c r="O22" s="7">
        <v>0</v>
      </c>
      <c r="P22" s="137">
        <v>0</v>
      </c>
      <c r="Q22" s="142">
        <v>0.1</v>
      </c>
      <c r="R22" s="25">
        <v>0.1</v>
      </c>
      <c r="S22" s="25">
        <v>0</v>
      </c>
      <c r="T22" s="25">
        <v>0</v>
      </c>
      <c r="U22" s="25">
        <v>0</v>
      </c>
      <c r="V22" s="25">
        <v>0</v>
      </c>
      <c r="W22" s="25">
        <v>0</v>
      </c>
      <c r="X22" s="25">
        <v>0</v>
      </c>
      <c r="Y22" s="25">
        <v>0</v>
      </c>
      <c r="Z22" s="133">
        <v>0</v>
      </c>
    </row>
    <row r="23" spans="1:26" ht="25.35" customHeight="1">
      <c r="A23" s="3"/>
      <c r="B23" s="3" t="s">
        <v>166</v>
      </c>
      <c r="C23" s="13" t="s">
        <v>212</v>
      </c>
      <c r="D23" s="13" t="s">
        <v>212</v>
      </c>
      <c r="E23" s="120" t="s">
        <v>211</v>
      </c>
      <c r="F23" s="44">
        <v>1.6</v>
      </c>
      <c r="G23" s="128">
        <v>5</v>
      </c>
      <c r="H23" s="11">
        <v>0</v>
      </c>
      <c r="I23" s="11">
        <v>2</v>
      </c>
      <c r="J23" s="11">
        <v>9</v>
      </c>
      <c r="K23" s="11">
        <v>6</v>
      </c>
      <c r="L23" s="11">
        <v>1</v>
      </c>
      <c r="M23" s="11">
        <v>3</v>
      </c>
      <c r="N23" s="11">
        <v>7</v>
      </c>
      <c r="O23" s="11">
        <v>4</v>
      </c>
      <c r="P23" s="138">
        <v>5</v>
      </c>
      <c r="Q23" s="143">
        <v>0.2</v>
      </c>
      <c r="R23" s="12">
        <v>0</v>
      </c>
      <c r="S23" s="12">
        <v>0.1</v>
      </c>
      <c r="T23" s="12">
        <v>0.3</v>
      </c>
      <c r="U23" s="12">
        <v>0.2</v>
      </c>
      <c r="V23" s="12">
        <v>0</v>
      </c>
      <c r="W23" s="12">
        <v>0.1</v>
      </c>
      <c r="X23" s="12">
        <v>0.2</v>
      </c>
      <c r="Y23" s="12">
        <v>0.1</v>
      </c>
      <c r="Z23" s="134">
        <v>0.2</v>
      </c>
    </row>
    <row r="24" spans="1:26" ht="25.35" customHeight="1">
      <c r="A24" s="3" t="s">
        <v>167</v>
      </c>
      <c r="B24" s="3" t="s">
        <v>13</v>
      </c>
      <c r="C24" s="13" t="s">
        <v>210</v>
      </c>
      <c r="D24" s="13" t="s">
        <v>210</v>
      </c>
      <c r="E24" s="120" t="s">
        <v>211</v>
      </c>
      <c r="F24" s="123">
        <v>1.1000000000000001</v>
      </c>
      <c r="G24" s="128">
        <v>960</v>
      </c>
      <c r="H24" s="11">
        <v>966</v>
      </c>
      <c r="I24" s="11">
        <v>1022</v>
      </c>
      <c r="J24" s="11">
        <v>1025</v>
      </c>
      <c r="K24" s="11">
        <v>994</v>
      </c>
      <c r="L24" s="11">
        <v>961</v>
      </c>
      <c r="M24" s="11">
        <v>1116</v>
      </c>
      <c r="N24" s="11">
        <v>1113</v>
      </c>
      <c r="O24" s="11">
        <v>1104</v>
      </c>
      <c r="P24" s="138">
        <v>1048</v>
      </c>
      <c r="Q24" s="143">
        <v>35.5</v>
      </c>
      <c r="R24" s="12">
        <v>35.4</v>
      </c>
      <c r="S24" s="12">
        <v>37.1</v>
      </c>
      <c r="T24" s="12">
        <v>36.9</v>
      </c>
      <c r="U24" s="12">
        <v>35.4</v>
      </c>
      <c r="V24" s="12">
        <v>33.9</v>
      </c>
      <c r="W24" s="12">
        <v>39</v>
      </c>
      <c r="X24" s="12">
        <v>38.5</v>
      </c>
      <c r="Y24" s="12">
        <v>38.200000000000003</v>
      </c>
      <c r="Z24" s="134">
        <v>36.200000000000003</v>
      </c>
    </row>
    <row r="25" spans="1:26" ht="25.35" customHeight="1">
      <c r="A25" s="14" t="s">
        <v>14</v>
      </c>
      <c r="B25" s="14"/>
      <c r="C25" s="18" t="s">
        <v>210</v>
      </c>
      <c r="D25" s="18" t="s">
        <v>210</v>
      </c>
      <c r="E25" s="121" t="s">
        <v>211</v>
      </c>
      <c r="F25" s="123">
        <v>1.1000000000000001</v>
      </c>
      <c r="G25" s="129">
        <v>103</v>
      </c>
      <c r="H25" s="16">
        <v>82</v>
      </c>
      <c r="I25" s="16">
        <v>84</v>
      </c>
      <c r="J25" s="16">
        <v>77</v>
      </c>
      <c r="K25" s="16">
        <v>78</v>
      </c>
      <c r="L25" s="16">
        <v>87</v>
      </c>
      <c r="M25" s="16">
        <v>65</v>
      </c>
      <c r="N25" s="16">
        <v>99</v>
      </c>
      <c r="O25" s="16">
        <v>96</v>
      </c>
      <c r="P25" s="139">
        <v>92</v>
      </c>
      <c r="Q25" s="144">
        <v>3.8</v>
      </c>
      <c r="R25" s="17">
        <v>3</v>
      </c>
      <c r="S25" s="17">
        <v>3</v>
      </c>
      <c r="T25" s="17">
        <v>2.8</v>
      </c>
      <c r="U25" s="17">
        <v>2.8</v>
      </c>
      <c r="V25" s="17">
        <v>3.1</v>
      </c>
      <c r="W25" s="17">
        <v>2.2999999999999998</v>
      </c>
      <c r="X25" s="17">
        <v>3.4</v>
      </c>
      <c r="Y25" s="17">
        <v>3.3</v>
      </c>
      <c r="Z25" s="135">
        <v>3.2</v>
      </c>
    </row>
    <row r="26" spans="1:26" ht="25.35" customHeight="1">
      <c r="A26" s="5" t="s">
        <v>40</v>
      </c>
      <c r="B26" s="5" t="s">
        <v>168</v>
      </c>
      <c r="C26" s="8">
        <v>-0.20300000000000001</v>
      </c>
      <c r="D26" s="8" t="s">
        <v>210</v>
      </c>
      <c r="E26" s="119" t="s">
        <v>211</v>
      </c>
      <c r="F26" s="44">
        <v>0.8</v>
      </c>
      <c r="G26" s="127">
        <v>321</v>
      </c>
      <c r="H26" s="7">
        <v>332</v>
      </c>
      <c r="I26" s="7">
        <v>352</v>
      </c>
      <c r="J26" s="7">
        <v>355</v>
      </c>
      <c r="K26" s="7">
        <v>319</v>
      </c>
      <c r="L26" s="7">
        <v>326</v>
      </c>
      <c r="M26" s="7">
        <v>259</v>
      </c>
      <c r="N26" s="7">
        <v>365</v>
      </c>
      <c r="O26" s="7">
        <v>360</v>
      </c>
      <c r="P26" s="137">
        <v>287</v>
      </c>
      <c r="Q26" s="142">
        <v>11.9</v>
      </c>
      <c r="R26" s="25">
        <v>12.2</v>
      </c>
      <c r="S26" s="25">
        <v>12.8</v>
      </c>
      <c r="T26" s="25">
        <v>12.8</v>
      </c>
      <c r="U26" s="25">
        <v>11.4</v>
      </c>
      <c r="V26" s="25">
        <v>11.5</v>
      </c>
      <c r="W26" s="25">
        <v>9</v>
      </c>
      <c r="X26" s="25">
        <v>12.6</v>
      </c>
      <c r="Y26" s="25">
        <v>12.4</v>
      </c>
      <c r="Z26" s="133">
        <v>9.9</v>
      </c>
    </row>
    <row r="27" spans="1:26" ht="25.35" customHeight="1">
      <c r="A27" s="5"/>
      <c r="B27" s="5" t="s">
        <v>169</v>
      </c>
      <c r="C27" s="8" t="s">
        <v>210</v>
      </c>
      <c r="D27" s="8">
        <v>-8.3000000000000004E-2</v>
      </c>
      <c r="E27" s="119" t="s">
        <v>211</v>
      </c>
      <c r="F27" s="44">
        <v>0.7</v>
      </c>
      <c r="G27" s="127">
        <v>48</v>
      </c>
      <c r="H27" s="7">
        <v>52</v>
      </c>
      <c r="I27" s="7">
        <v>40</v>
      </c>
      <c r="J27" s="7">
        <v>43</v>
      </c>
      <c r="K27" s="7">
        <v>45</v>
      </c>
      <c r="L27" s="7">
        <v>44</v>
      </c>
      <c r="M27" s="7">
        <v>28</v>
      </c>
      <c r="N27" s="7">
        <v>43</v>
      </c>
      <c r="O27" s="7">
        <v>41</v>
      </c>
      <c r="P27" s="137">
        <v>22</v>
      </c>
      <c r="Q27" s="142">
        <v>1.8</v>
      </c>
      <c r="R27" s="25">
        <v>1.9</v>
      </c>
      <c r="S27" s="25">
        <v>1.5</v>
      </c>
      <c r="T27" s="25">
        <v>1.5</v>
      </c>
      <c r="U27" s="25">
        <v>1.6</v>
      </c>
      <c r="V27" s="25">
        <v>1.6</v>
      </c>
      <c r="W27" s="25">
        <v>1</v>
      </c>
      <c r="X27" s="25">
        <v>1.5</v>
      </c>
      <c r="Y27" s="25">
        <v>1.4</v>
      </c>
      <c r="Z27" s="133">
        <v>0.8</v>
      </c>
    </row>
    <row r="28" spans="1:26" ht="25.35" customHeight="1">
      <c r="A28" s="3"/>
      <c r="B28" s="3" t="s">
        <v>170</v>
      </c>
      <c r="C28" s="13" t="s">
        <v>210</v>
      </c>
      <c r="D28" s="13" t="s">
        <v>210</v>
      </c>
      <c r="E28" s="120" t="s">
        <v>211</v>
      </c>
      <c r="F28" s="44">
        <v>1.1000000000000001</v>
      </c>
      <c r="G28" s="128">
        <v>289</v>
      </c>
      <c r="H28" s="11">
        <v>269</v>
      </c>
      <c r="I28" s="11">
        <v>314</v>
      </c>
      <c r="J28" s="11">
        <v>308</v>
      </c>
      <c r="K28" s="11">
        <v>296</v>
      </c>
      <c r="L28" s="11">
        <v>295</v>
      </c>
      <c r="M28" s="11">
        <v>290</v>
      </c>
      <c r="N28" s="11">
        <v>332</v>
      </c>
      <c r="O28" s="11">
        <v>280</v>
      </c>
      <c r="P28" s="138">
        <v>270</v>
      </c>
      <c r="Q28" s="143">
        <v>10.7</v>
      </c>
      <c r="R28" s="12">
        <v>9.8000000000000007</v>
      </c>
      <c r="S28" s="12">
        <v>11.4</v>
      </c>
      <c r="T28" s="12">
        <v>11.1</v>
      </c>
      <c r="U28" s="12">
        <v>10.5</v>
      </c>
      <c r="V28" s="12">
        <v>10.4</v>
      </c>
      <c r="W28" s="12">
        <v>10.1</v>
      </c>
      <c r="X28" s="12">
        <v>11.5</v>
      </c>
      <c r="Y28" s="12">
        <v>9.6999999999999993</v>
      </c>
      <c r="Z28" s="134">
        <v>9.3000000000000007</v>
      </c>
    </row>
    <row r="29" spans="1:26" ht="25.35" customHeight="1">
      <c r="A29" s="14" t="s">
        <v>15</v>
      </c>
      <c r="B29" s="14"/>
      <c r="C29" s="18">
        <v>-0.30199999999999999</v>
      </c>
      <c r="D29" s="18" t="s">
        <v>212</v>
      </c>
      <c r="E29" s="120" t="s">
        <v>211</v>
      </c>
      <c r="F29" s="123">
        <v>0.9</v>
      </c>
      <c r="G29" s="129">
        <v>18</v>
      </c>
      <c r="H29" s="16">
        <v>16</v>
      </c>
      <c r="I29" s="16">
        <v>14</v>
      </c>
      <c r="J29" s="16">
        <v>11</v>
      </c>
      <c r="K29" s="16">
        <v>16</v>
      </c>
      <c r="L29" s="16">
        <v>19</v>
      </c>
      <c r="M29" s="16">
        <v>31</v>
      </c>
      <c r="N29" s="16">
        <v>780</v>
      </c>
      <c r="O29" s="16">
        <v>507</v>
      </c>
      <c r="P29" s="139">
        <v>354</v>
      </c>
      <c r="Q29" s="144">
        <v>0.7</v>
      </c>
      <c r="R29" s="17">
        <v>0.6</v>
      </c>
      <c r="S29" s="17">
        <v>0.5</v>
      </c>
      <c r="T29" s="17">
        <v>0.4</v>
      </c>
      <c r="U29" s="17">
        <v>0.6</v>
      </c>
      <c r="V29" s="17">
        <v>0.7</v>
      </c>
      <c r="W29" s="17">
        <v>1.1000000000000001</v>
      </c>
      <c r="X29" s="17">
        <v>27</v>
      </c>
      <c r="Y29" s="17">
        <v>17.5</v>
      </c>
      <c r="Z29" s="135">
        <v>12.2</v>
      </c>
    </row>
    <row r="30" spans="1:26" ht="25.35" customHeight="1">
      <c r="A30" s="14" t="s">
        <v>195</v>
      </c>
      <c r="B30" s="14"/>
      <c r="C30" s="18" t="s">
        <v>212</v>
      </c>
      <c r="D30" s="18" t="s">
        <v>212</v>
      </c>
      <c r="E30" s="120" t="s">
        <v>211</v>
      </c>
      <c r="F30" s="123">
        <v>1.7</v>
      </c>
      <c r="G30" s="129">
        <v>0</v>
      </c>
      <c r="H30" s="16">
        <v>0</v>
      </c>
      <c r="I30" s="16">
        <v>0</v>
      </c>
      <c r="J30" s="16">
        <v>0</v>
      </c>
      <c r="K30" s="16">
        <v>0</v>
      </c>
      <c r="L30" s="16">
        <v>0</v>
      </c>
      <c r="M30" s="16">
        <v>0</v>
      </c>
      <c r="N30" s="16">
        <v>0</v>
      </c>
      <c r="O30" s="16">
        <v>0</v>
      </c>
      <c r="P30" s="139">
        <v>170</v>
      </c>
      <c r="Q30" s="144">
        <v>0</v>
      </c>
      <c r="R30" s="17">
        <v>0</v>
      </c>
      <c r="S30" s="17">
        <v>0</v>
      </c>
      <c r="T30" s="17">
        <v>0</v>
      </c>
      <c r="U30" s="17">
        <v>0</v>
      </c>
      <c r="V30" s="17">
        <v>0</v>
      </c>
      <c r="W30" s="17">
        <v>0</v>
      </c>
      <c r="X30" s="17">
        <v>0</v>
      </c>
      <c r="Y30" s="17">
        <v>0</v>
      </c>
      <c r="Z30" s="135">
        <v>5.9</v>
      </c>
    </row>
    <row r="31" spans="1:26" ht="25.35" customHeight="1">
      <c r="A31" s="14" t="s">
        <v>135</v>
      </c>
      <c r="B31" s="14"/>
      <c r="C31" s="18" t="s">
        <v>210</v>
      </c>
      <c r="D31" s="18">
        <v>5.8999999999999997E-2</v>
      </c>
      <c r="E31" s="120" t="s">
        <v>211</v>
      </c>
      <c r="F31" s="123">
        <v>1.4</v>
      </c>
      <c r="G31" s="129">
        <v>13998</v>
      </c>
      <c r="H31" s="16">
        <v>13624</v>
      </c>
      <c r="I31" s="16">
        <v>14564</v>
      </c>
      <c r="J31" s="16">
        <v>15131</v>
      </c>
      <c r="K31" s="16">
        <v>16415</v>
      </c>
      <c r="L31" s="16">
        <v>18881</v>
      </c>
      <c r="M31" s="16">
        <v>19164</v>
      </c>
      <c r="N31" s="16">
        <v>21089</v>
      </c>
      <c r="O31" s="16">
        <v>22904</v>
      </c>
      <c r="P31" s="139">
        <v>23463</v>
      </c>
      <c r="Q31" s="144">
        <v>516.9</v>
      </c>
      <c r="R31" s="17">
        <v>498.9</v>
      </c>
      <c r="S31" s="17">
        <v>528.6</v>
      </c>
      <c r="T31" s="17">
        <v>544.79999999999995</v>
      </c>
      <c r="U31" s="17">
        <v>584.29999999999995</v>
      </c>
      <c r="V31" s="17">
        <v>665.9</v>
      </c>
      <c r="W31" s="17">
        <v>669.4</v>
      </c>
      <c r="X31" s="17">
        <v>729.3</v>
      </c>
      <c r="Y31" s="17">
        <v>792</v>
      </c>
      <c r="Z31" s="135">
        <v>811.4</v>
      </c>
    </row>
    <row r="32" spans="1:26" ht="25.35" customHeight="1">
      <c r="A32" s="14" t="s">
        <v>16</v>
      </c>
      <c r="B32" s="14"/>
      <c r="C32" s="18" t="s">
        <v>210</v>
      </c>
      <c r="D32" s="18">
        <v>1.4E-2</v>
      </c>
      <c r="E32" s="120" t="s">
        <v>211</v>
      </c>
      <c r="F32" s="123">
        <v>1.4</v>
      </c>
      <c r="G32" s="129">
        <v>647</v>
      </c>
      <c r="H32" s="16">
        <v>479</v>
      </c>
      <c r="I32" s="16">
        <v>208</v>
      </c>
      <c r="J32" s="16">
        <v>552</v>
      </c>
      <c r="K32" s="16">
        <v>586</v>
      </c>
      <c r="L32" s="16">
        <v>645</v>
      </c>
      <c r="M32" s="16">
        <v>765</v>
      </c>
      <c r="N32" s="16">
        <v>699</v>
      </c>
      <c r="O32" s="16">
        <v>688</v>
      </c>
      <c r="P32" s="139">
        <v>732</v>
      </c>
      <c r="Q32" s="144">
        <v>23.9</v>
      </c>
      <c r="R32" s="17">
        <v>17.5</v>
      </c>
      <c r="S32" s="17">
        <v>7.5</v>
      </c>
      <c r="T32" s="17">
        <v>19.899999999999999</v>
      </c>
      <c r="U32" s="17">
        <v>20.9</v>
      </c>
      <c r="V32" s="17">
        <v>22.7</v>
      </c>
      <c r="W32" s="17">
        <v>26.7</v>
      </c>
      <c r="X32" s="17">
        <v>24.2</v>
      </c>
      <c r="Y32" s="17">
        <v>23.8</v>
      </c>
      <c r="Z32" s="135">
        <v>25.3</v>
      </c>
    </row>
    <row r="33" spans="1:26" ht="25.35" customHeight="1">
      <c r="A33" s="19" t="s">
        <v>171</v>
      </c>
      <c r="B33" s="19" t="s">
        <v>17</v>
      </c>
      <c r="C33" s="23" t="s">
        <v>210</v>
      </c>
      <c r="D33" s="23">
        <v>-1.7000000000000001E-2</v>
      </c>
      <c r="E33" s="119" t="s">
        <v>211</v>
      </c>
      <c r="F33" s="44">
        <v>0.9</v>
      </c>
      <c r="G33" s="126">
        <v>2814</v>
      </c>
      <c r="H33" s="21">
        <v>2603</v>
      </c>
      <c r="I33" s="21">
        <v>2657</v>
      </c>
      <c r="J33" s="21">
        <v>2714</v>
      </c>
      <c r="K33" s="21">
        <v>2838</v>
      </c>
      <c r="L33" s="21">
        <v>2260</v>
      </c>
      <c r="M33" s="21">
        <v>2312</v>
      </c>
      <c r="N33" s="21">
        <v>2360</v>
      </c>
      <c r="O33" s="21">
        <v>2467</v>
      </c>
      <c r="P33" s="140">
        <v>2403</v>
      </c>
      <c r="Q33" s="141">
        <v>103.9</v>
      </c>
      <c r="R33" s="22">
        <v>95.3</v>
      </c>
      <c r="S33" s="22">
        <v>96.4</v>
      </c>
      <c r="T33" s="22">
        <v>97.7</v>
      </c>
      <c r="U33" s="22">
        <v>101</v>
      </c>
      <c r="V33" s="22">
        <v>79.7</v>
      </c>
      <c r="W33" s="22">
        <v>80.8</v>
      </c>
      <c r="X33" s="22">
        <v>81.599999999999994</v>
      </c>
      <c r="Y33" s="22">
        <v>85.3</v>
      </c>
      <c r="Z33" s="136">
        <v>83.1</v>
      </c>
    </row>
    <row r="34" spans="1:26" ht="25.35" customHeight="1">
      <c r="A34" s="5"/>
      <c r="B34" s="5" t="s">
        <v>9</v>
      </c>
      <c r="C34" s="8">
        <v>-8.1000000000000003E-2</v>
      </c>
      <c r="D34" s="8">
        <v>-4.7E-2</v>
      </c>
      <c r="E34" s="119" t="s">
        <v>211</v>
      </c>
      <c r="F34" s="44">
        <v>1.2</v>
      </c>
      <c r="G34" s="127">
        <v>9985</v>
      </c>
      <c r="H34" s="7">
        <v>9859</v>
      </c>
      <c r="I34" s="7">
        <v>9217</v>
      </c>
      <c r="J34" s="7">
        <v>9272</v>
      </c>
      <c r="K34" s="7">
        <v>8954</v>
      </c>
      <c r="L34" s="7">
        <v>7804</v>
      </c>
      <c r="M34" s="7">
        <v>7227</v>
      </c>
      <c r="N34" s="7">
        <v>6771</v>
      </c>
      <c r="O34" s="7">
        <v>7026</v>
      </c>
      <c r="P34" s="137">
        <v>6457</v>
      </c>
      <c r="Q34" s="142">
        <v>368.7</v>
      </c>
      <c r="R34" s="25">
        <v>361</v>
      </c>
      <c r="S34" s="25">
        <v>334.5</v>
      </c>
      <c r="T34" s="25">
        <v>333.9</v>
      </c>
      <c r="U34" s="25">
        <v>318.7</v>
      </c>
      <c r="V34" s="25">
        <v>275.2</v>
      </c>
      <c r="W34" s="25">
        <v>252.4</v>
      </c>
      <c r="X34" s="25">
        <v>234.1</v>
      </c>
      <c r="Y34" s="25">
        <v>243</v>
      </c>
      <c r="Z34" s="133">
        <v>223.3</v>
      </c>
    </row>
    <row r="35" spans="1:26" ht="25.35" customHeight="1">
      <c r="A35" s="5"/>
      <c r="B35" s="5" t="s">
        <v>10</v>
      </c>
      <c r="C35" s="8" t="s">
        <v>210</v>
      </c>
      <c r="D35" s="8">
        <v>-7.0000000000000007E-2</v>
      </c>
      <c r="E35" s="119" t="s">
        <v>211</v>
      </c>
      <c r="F35" s="44">
        <v>0.9</v>
      </c>
      <c r="G35" s="127">
        <v>1121</v>
      </c>
      <c r="H35" s="7">
        <v>1039</v>
      </c>
      <c r="I35" s="7">
        <v>1000</v>
      </c>
      <c r="J35" s="7">
        <v>881</v>
      </c>
      <c r="K35" s="7">
        <v>714</v>
      </c>
      <c r="L35" s="7">
        <v>634</v>
      </c>
      <c r="M35" s="7">
        <v>563</v>
      </c>
      <c r="N35" s="7">
        <v>657</v>
      </c>
      <c r="O35" s="7">
        <v>653</v>
      </c>
      <c r="P35" s="137">
        <v>586</v>
      </c>
      <c r="Q35" s="142">
        <v>41.4</v>
      </c>
      <c r="R35" s="25">
        <v>38</v>
      </c>
      <c r="S35" s="25">
        <v>36.299999999999997</v>
      </c>
      <c r="T35" s="25">
        <v>31.7</v>
      </c>
      <c r="U35" s="25">
        <v>25.4</v>
      </c>
      <c r="V35" s="25">
        <v>22.4</v>
      </c>
      <c r="W35" s="25">
        <v>19.7</v>
      </c>
      <c r="X35" s="25">
        <v>22.7</v>
      </c>
      <c r="Y35" s="25">
        <v>22.6</v>
      </c>
      <c r="Z35" s="133">
        <v>20.3</v>
      </c>
    </row>
    <row r="36" spans="1:26" ht="25.35" customHeight="1">
      <c r="A36" s="5"/>
      <c r="B36" s="5" t="s">
        <v>18</v>
      </c>
      <c r="C36" s="8" t="s">
        <v>210</v>
      </c>
      <c r="D36" s="8">
        <v>-7.6999999999999999E-2</v>
      </c>
      <c r="E36" s="119" t="s">
        <v>211</v>
      </c>
      <c r="F36" s="44">
        <v>2.8</v>
      </c>
      <c r="G36" s="127">
        <v>474</v>
      </c>
      <c r="H36" s="7">
        <v>466</v>
      </c>
      <c r="I36" s="7">
        <v>398</v>
      </c>
      <c r="J36" s="7">
        <v>422</v>
      </c>
      <c r="K36" s="7">
        <v>402</v>
      </c>
      <c r="L36" s="7">
        <v>335</v>
      </c>
      <c r="M36" s="7">
        <v>265</v>
      </c>
      <c r="N36" s="7">
        <v>262</v>
      </c>
      <c r="O36" s="7">
        <v>196</v>
      </c>
      <c r="P36" s="137">
        <v>231</v>
      </c>
      <c r="Q36" s="142">
        <v>17.5</v>
      </c>
      <c r="R36" s="25">
        <v>17.100000000000001</v>
      </c>
      <c r="S36" s="25">
        <v>14.4</v>
      </c>
      <c r="T36" s="25">
        <v>15.2</v>
      </c>
      <c r="U36" s="25">
        <v>14.3</v>
      </c>
      <c r="V36" s="25">
        <v>11.8</v>
      </c>
      <c r="W36" s="25">
        <v>9.3000000000000007</v>
      </c>
      <c r="X36" s="25">
        <v>9.1</v>
      </c>
      <c r="Y36" s="25">
        <v>6.8</v>
      </c>
      <c r="Z36" s="133">
        <v>8</v>
      </c>
    </row>
    <row r="37" spans="1:26" ht="29.25" customHeight="1">
      <c r="A37" s="5"/>
      <c r="B37" s="5" t="s">
        <v>11</v>
      </c>
      <c r="C37" s="8">
        <v>-0.17100000000000001</v>
      </c>
      <c r="D37" s="8" t="s">
        <v>210</v>
      </c>
      <c r="E37" s="119" t="s">
        <v>211</v>
      </c>
      <c r="F37" s="44">
        <v>1</v>
      </c>
      <c r="G37" s="127">
        <v>13048</v>
      </c>
      <c r="H37" s="7">
        <v>13203</v>
      </c>
      <c r="I37" s="7">
        <v>14374</v>
      </c>
      <c r="J37" s="7">
        <v>14959</v>
      </c>
      <c r="K37" s="7">
        <v>15192</v>
      </c>
      <c r="L37" s="7">
        <v>14055</v>
      </c>
      <c r="M37" s="7">
        <v>15459</v>
      </c>
      <c r="N37" s="7">
        <v>17193</v>
      </c>
      <c r="O37" s="7">
        <v>16998</v>
      </c>
      <c r="P37" s="137">
        <v>14099</v>
      </c>
      <c r="Q37" s="142">
        <v>481.8</v>
      </c>
      <c r="R37" s="25">
        <v>483.4</v>
      </c>
      <c r="S37" s="25">
        <v>521.70000000000005</v>
      </c>
      <c r="T37" s="25">
        <v>538.6</v>
      </c>
      <c r="U37" s="25">
        <v>540.70000000000005</v>
      </c>
      <c r="V37" s="25">
        <v>495.7</v>
      </c>
      <c r="W37" s="25">
        <v>540</v>
      </c>
      <c r="X37" s="25">
        <v>594.5</v>
      </c>
      <c r="Y37" s="25">
        <v>587.79999999999995</v>
      </c>
      <c r="Z37" s="133">
        <v>487.6</v>
      </c>
    </row>
    <row r="38" spans="1:26" ht="29.25" customHeight="1">
      <c r="A38" s="5"/>
      <c r="B38" s="5" t="s">
        <v>19</v>
      </c>
      <c r="C38" s="8" t="s">
        <v>210</v>
      </c>
      <c r="D38" s="8">
        <v>-4.4999999999999998E-2</v>
      </c>
      <c r="E38" s="119" t="s">
        <v>211</v>
      </c>
      <c r="F38" s="44">
        <v>1.1000000000000001</v>
      </c>
      <c r="G38" s="127">
        <v>11934</v>
      </c>
      <c r="H38" s="7">
        <v>11119</v>
      </c>
      <c r="I38" s="7">
        <v>10757</v>
      </c>
      <c r="J38" s="7">
        <v>10748</v>
      </c>
      <c r="K38" s="7">
        <v>9827</v>
      </c>
      <c r="L38" s="7">
        <v>8236</v>
      </c>
      <c r="M38" s="7">
        <v>7370</v>
      </c>
      <c r="N38" s="7">
        <v>7753</v>
      </c>
      <c r="O38" s="7">
        <v>8302</v>
      </c>
      <c r="P38" s="137">
        <v>7881</v>
      </c>
      <c r="Q38" s="142">
        <v>440.7</v>
      </c>
      <c r="R38" s="25">
        <v>407.1</v>
      </c>
      <c r="S38" s="25">
        <v>390.4</v>
      </c>
      <c r="T38" s="25">
        <v>387</v>
      </c>
      <c r="U38" s="25">
        <v>349.8</v>
      </c>
      <c r="V38" s="25">
        <v>290.5</v>
      </c>
      <c r="W38" s="25">
        <v>257.39999999999998</v>
      </c>
      <c r="X38" s="25">
        <v>268.10000000000002</v>
      </c>
      <c r="Y38" s="25">
        <v>287.10000000000002</v>
      </c>
      <c r="Z38" s="133">
        <v>272.5</v>
      </c>
    </row>
    <row r="39" spans="1:26" ht="29.25" customHeight="1">
      <c r="A39" s="14" t="s">
        <v>20</v>
      </c>
      <c r="B39" s="14"/>
      <c r="C39" s="18">
        <v>-9.0999999999999998E-2</v>
      </c>
      <c r="D39" s="18">
        <v>-1.7000000000000001E-2</v>
      </c>
      <c r="E39" s="121" t="s">
        <v>211</v>
      </c>
      <c r="F39" s="123">
        <v>1.9</v>
      </c>
      <c r="G39" s="129">
        <v>3296</v>
      </c>
      <c r="H39" s="16">
        <v>3396</v>
      </c>
      <c r="I39" s="16">
        <v>3690</v>
      </c>
      <c r="J39" s="16">
        <v>3366</v>
      </c>
      <c r="K39" s="16">
        <v>3159</v>
      </c>
      <c r="L39" s="16">
        <v>2575</v>
      </c>
      <c r="M39" s="16">
        <v>2325</v>
      </c>
      <c r="N39" s="16">
        <v>2655</v>
      </c>
      <c r="O39" s="16">
        <v>3102</v>
      </c>
      <c r="P39" s="139">
        <v>2819</v>
      </c>
      <c r="Q39" s="144">
        <v>121.7</v>
      </c>
      <c r="R39" s="17">
        <v>124.3</v>
      </c>
      <c r="S39" s="17">
        <v>133.9</v>
      </c>
      <c r="T39" s="17">
        <v>121.2</v>
      </c>
      <c r="U39" s="17">
        <v>112.4</v>
      </c>
      <c r="V39" s="17">
        <v>90.8</v>
      </c>
      <c r="W39" s="17">
        <v>81.2</v>
      </c>
      <c r="X39" s="17">
        <v>91.8</v>
      </c>
      <c r="Y39" s="17">
        <v>107.3</v>
      </c>
      <c r="Z39" s="135">
        <v>97.5</v>
      </c>
    </row>
    <row r="40" spans="1:26" ht="29.25" customHeight="1">
      <c r="A40" s="5" t="s">
        <v>21</v>
      </c>
      <c r="B40" s="5" t="s">
        <v>172</v>
      </c>
      <c r="C40" s="8" t="s">
        <v>210</v>
      </c>
      <c r="D40" s="8">
        <v>0.186</v>
      </c>
      <c r="E40" s="119" t="s">
        <v>211</v>
      </c>
      <c r="F40" s="44">
        <v>0.8</v>
      </c>
      <c r="G40" s="127">
        <v>115</v>
      </c>
      <c r="H40" s="7">
        <v>190</v>
      </c>
      <c r="I40" s="7">
        <v>274</v>
      </c>
      <c r="J40" s="7">
        <v>369</v>
      </c>
      <c r="K40" s="7">
        <v>380</v>
      </c>
      <c r="L40" s="7">
        <v>395</v>
      </c>
      <c r="M40" s="7">
        <v>456</v>
      </c>
      <c r="N40" s="7">
        <v>461</v>
      </c>
      <c r="O40" s="7">
        <v>533</v>
      </c>
      <c r="P40" s="137">
        <v>534</v>
      </c>
      <c r="Q40" s="142">
        <v>4.2</v>
      </c>
      <c r="R40" s="25">
        <v>7</v>
      </c>
      <c r="S40" s="25">
        <v>9.9</v>
      </c>
      <c r="T40" s="25">
        <v>13.3</v>
      </c>
      <c r="U40" s="25">
        <v>13.5</v>
      </c>
      <c r="V40" s="25">
        <v>13.9</v>
      </c>
      <c r="W40" s="25">
        <v>15.9</v>
      </c>
      <c r="X40" s="25">
        <v>15.9</v>
      </c>
      <c r="Y40" s="25">
        <v>18.399999999999999</v>
      </c>
      <c r="Z40" s="133">
        <v>18.5</v>
      </c>
    </row>
    <row r="41" spans="1:26" ht="29.25" customHeight="1">
      <c r="A41" s="5"/>
      <c r="B41" s="5" t="s">
        <v>173</v>
      </c>
      <c r="C41" s="8">
        <v>0.45500000000000002</v>
      </c>
      <c r="D41" s="8">
        <v>9.9000000000000005E-2</v>
      </c>
      <c r="E41" s="119" t="s">
        <v>211</v>
      </c>
      <c r="F41" s="44">
        <v>0.6</v>
      </c>
      <c r="G41" s="127">
        <v>123</v>
      </c>
      <c r="H41" s="7">
        <v>153</v>
      </c>
      <c r="I41" s="7">
        <v>166</v>
      </c>
      <c r="J41" s="7">
        <v>149</v>
      </c>
      <c r="K41" s="7">
        <v>225</v>
      </c>
      <c r="L41" s="7">
        <v>162</v>
      </c>
      <c r="M41" s="7">
        <v>190</v>
      </c>
      <c r="N41" s="7">
        <v>177</v>
      </c>
      <c r="O41" s="7">
        <v>198</v>
      </c>
      <c r="P41" s="137">
        <v>288</v>
      </c>
      <c r="Q41" s="142">
        <v>4.5</v>
      </c>
      <c r="R41" s="25">
        <v>5.6</v>
      </c>
      <c r="S41" s="25">
        <v>6</v>
      </c>
      <c r="T41" s="25">
        <v>5.4</v>
      </c>
      <c r="U41" s="25">
        <v>8</v>
      </c>
      <c r="V41" s="25">
        <v>5.7</v>
      </c>
      <c r="W41" s="25">
        <v>6.6</v>
      </c>
      <c r="X41" s="25">
        <v>6.1</v>
      </c>
      <c r="Y41" s="25">
        <v>6.8</v>
      </c>
      <c r="Z41" s="133">
        <v>10</v>
      </c>
    </row>
    <row r="42" spans="1:26" ht="29.25" customHeight="1">
      <c r="A42" s="5"/>
      <c r="B42" s="5" t="s">
        <v>174</v>
      </c>
      <c r="C42" s="8">
        <v>-6.7000000000000004E-2</v>
      </c>
      <c r="D42" s="8">
        <v>-4.5999999999999999E-2</v>
      </c>
      <c r="E42" s="119" t="s">
        <v>211</v>
      </c>
      <c r="F42" s="44">
        <v>1.3</v>
      </c>
      <c r="G42" s="127">
        <v>8339</v>
      </c>
      <c r="H42" s="7">
        <v>7849</v>
      </c>
      <c r="I42" s="7">
        <v>7739</v>
      </c>
      <c r="J42" s="7">
        <v>7595</v>
      </c>
      <c r="K42" s="7">
        <v>7869</v>
      </c>
      <c r="L42" s="7">
        <v>7080</v>
      </c>
      <c r="M42" s="7">
        <v>6240</v>
      </c>
      <c r="N42" s="7">
        <v>6112</v>
      </c>
      <c r="O42" s="7">
        <v>5871</v>
      </c>
      <c r="P42" s="137">
        <v>5476</v>
      </c>
      <c r="Q42" s="142">
        <v>307.89999999999998</v>
      </c>
      <c r="R42" s="25">
        <v>287.39999999999998</v>
      </c>
      <c r="S42" s="25">
        <v>280.89999999999998</v>
      </c>
      <c r="T42" s="25">
        <v>273.5</v>
      </c>
      <c r="U42" s="25">
        <v>280.10000000000002</v>
      </c>
      <c r="V42" s="25">
        <v>249.7</v>
      </c>
      <c r="W42" s="25">
        <v>218</v>
      </c>
      <c r="X42" s="25">
        <v>211.4</v>
      </c>
      <c r="Y42" s="25">
        <v>203</v>
      </c>
      <c r="Z42" s="133">
        <v>189.4</v>
      </c>
    </row>
    <row r="43" spans="1:26" ht="29.25" customHeight="1">
      <c r="A43" s="5"/>
      <c r="B43" s="5" t="s">
        <v>175</v>
      </c>
      <c r="C43" s="8">
        <v>0.17899999999999999</v>
      </c>
      <c r="D43" s="8" t="s">
        <v>210</v>
      </c>
      <c r="E43" s="119" t="s">
        <v>211</v>
      </c>
      <c r="F43" s="44">
        <v>1.3</v>
      </c>
      <c r="G43" s="127">
        <v>3039</v>
      </c>
      <c r="H43" s="7">
        <v>2846</v>
      </c>
      <c r="I43" s="7">
        <v>2969</v>
      </c>
      <c r="J43" s="7">
        <v>3347</v>
      </c>
      <c r="K43" s="7">
        <v>3980</v>
      </c>
      <c r="L43" s="7">
        <v>2969</v>
      </c>
      <c r="M43" s="7">
        <v>2612</v>
      </c>
      <c r="N43" s="7">
        <v>2514</v>
      </c>
      <c r="O43" s="7">
        <v>3033</v>
      </c>
      <c r="P43" s="137">
        <v>3576</v>
      </c>
      <c r="Q43" s="142">
        <v>112.2</v>
      </c>
      <c r="R43" s="25">
        <v>104.2</v>
      </c>
      <c r="S43" s="25">
        <v>107.8</v>
      </c>
      <c r="T43" s="25">
        <v>120.5</v>
      </c>
      <c r="U43" s="25">
        <v>141.69999999999999</v>
      </c>
      <c r="V43" s="25">
        <v>104.7</v>
      </c>
      <c r="W43" s="25">
        <v>91.2</v>
      </c>
      <c r="X43" s="25">
        <v>86.9</v>
      </c>
      <c r="Y43" s="25">
        <v>104.9</v>
      </c>
      <c r="Z43" s="133">
        <v>123.7</v>
      </c>
    </row>
    <row r="44" spans="1:26" ht="29.25" customHeight="1">
      <c r="A44" s="5"/>
      <c r="B44" s="5" t="s">
        <v>176</v>
      </c>
      <c r="C44" s="8" t="s">
        <v>210</v>
      </c>
      <c r="D44" s="8">
        <v>-7.6999999999999999E-2</v>
      </c>
      <c r="E44" s="119" t="s">
        <v>211</v>
      </c>
      <c r="F44" s="44">
        <v>0.8</v>
      </c>
      <c r="G44" s="127">
        <v>502</v>
      </c>
      <c r="H44" s="7">
        <v>644</v>
      </c>
      <c r="I44" s="7">
        <v>648</v>
      </c>
      <c r="J44" s="7">
        <v>751</v>
      </c>
      <c r="K44" s="7">
        <v>679</v>
      </c>
      <c r="L44" s="7">
        <v>254</v>
      </c>
      <c r="M44" s="7">
        <v>193</v>
      </c>
      <c r="N44" s="7">
        <v>226</v>
      </c>
      <c r="O44" s="7">
        <v>282</v>
      </c>
      <c r="P44" s="137">
        <v>243</v>
      </c>
      <c r="Q44" s="142">
        <v>18.5</v>
      </c>
      <c r="R44" s="25">
        <v>23.6</v>
      </c>
      <c r="S44" s="25">
        <v>23.5</v>
      </c>
      <c r="T44" s="25">
        <v>27</v>
      </c>
      <c r="U44" s="25">
        <v>24.2</v>
      </c>
      <c r="V44" s="25">
        <v>9</v>
      </c>
      <c r="W44" s="25">
        <v>6.7</v>
      </c>
      <c r="X44" s="25">
        <v>7.8</v>
      </c>
      <c r="Y44" s="25">
        <v>9.8000000000000007</v>
      </c>
      <c r="Z44" s="133">
        <v>8.4</v>
      </c>
    </row>
    <row r="45" spans="1:26" ht="29.25" customHeight="1">
      <c r="A45" s="5"/>
      <c r="B45" s="5" t="s">
        <v>177</v>
      </c>
      <c r="C45" s="8" t="s">
        <v>210</v>
      </c>
      <c r="D45" s="8">
        <v>2.1999999999999999E-2</v>
      </c>
      <c r="E45" s="119" t="s">
        <v>211</v>
      </c>
      <c r="F45" s="44">
        <v>1</v>
      </c>
      <c r="G45" s="127">
        <v>1313</v>
      </c>
      <c r="H45" s="7">
        <v>1318</v>
      </c>
      <c r="I45" s="7">
        <v>1441</v>
      </c>
      <c r="J45" s="7">
        <v>1658</v>
      </c>
      <c r="K45" s="7">
        <v>1767</v>
      </c>
      <c r="L45" s="7">
        <v>1657</v>
      </c>
      <c r="M45" s="7">
        <v>1489</v>
      </c>
      <c r="N45" s="7">
        <v>1612</v>
      </c>
      <c r="O45" s="7">
        <v>1661</v>
      </c>
      <c r="P45" s="137">
        <v>1594</v>
      </c>
      <c r="Q45" s="142">
        <v>48.5</v>
      </c>
      <c r="R45" s="25">
        <v>48.3</v>
      </c>
      <c r="S45" s="25">
        <v>52.3</v>
      </c>
      <c r="T45" s="25">
        <v>59.7</v>
      </c>
      <c r="U45" s="25">
        <v>62.9</v>
      </c>
      <c r="V45" s="25">
        <v>58.4</v>
      </c>
      <c r="W45" s="25">
        <v>52</v>
      </c>
      <c r="X45" s="25">
        <v>55.7</v>
      </c>
      <c r="Y45" s="25">
        <v>57.4</v>
      </c>
      <c r="Z45" s="133">
        <v>55.1</v>
      </c>
    </row>
    <row r="46" spans="1:26" ht="29.25" customHeight="1">
      <c r="A46" s="5"/>
      <c r="B46" s="5" t="s">
        <v>178</v>
      </c>
      <c r="C46" s="8">
        <v>1.151</v>
      </c>
      <c r="D46" s="8">
        <v>0.26400000000000001</v>
      </c>
      <c r="E46" s="119" t="s">
        <v>211</v>
      </c>
      <c r="F46" s="44">
        <v>0.9</v>
      </c>
      <c r="G46" s="127">
        <v>38</v>
      </c>
      <c r="H46" s="7">
        <v>64</v>
      </c>
      <c r="I46" s="7">
        <v>103</v>
      </c>
      <c r="J46" s="7">
        <v>103</v>
      </c>
      <c r="K46" s="7">
        <v>274</v>
      </c>
      <c r="L46" s="7">
        <v>366</v>
      </c>
      <c r="M46" s="7">
        <v>182</v>
      </c>
      <c r="N46" s="7">
        <v>242</v>
      </c>
      <c r="O46" s="7">
        <v>146</v>
      </c>
      <c r="P46" s="137">
        <v>314</v>
      </c>
      <c r="Q46" s="142">
        <v>1.4</v>
      </c>
      <c r="R46" s="25">
        <v>2.2999999999999998</v>
      </c>
      <c r="S46" s="25">
        <v>3.7</v>
      </c>
      <c r="T46" s="25">
        <v>3.7</v>
      </c>
      <c r="U46" s="25">
        <v>9.8000000000000007</v>
      </c>
      <c r="V46" s="25">
        <v>12.9</v>
      </c>
      <c r="W46" s="25">
        <v>6.4</v>
      </c>
      <c r="X46" s="25">
        <v>8.4</v>
      </c>
      <c r="Y46" s="25">
        <v>5</v>
      </c>
      <c r="Z46" s="133">
        <v>10.9</v>
      </c>
    </row>
    <row r="47" spans="1:26" ht="29.25" customHeight="1">
      <c r="A47" s="5"/>
      <c r="B47" s="5" t="s">
        <v>179</v>
      </c>
      <c r="C47" s="8" t="s">
        <v>210</v>
      </c>
      <c r="D47" s="8" t="s">
        <v>210</v>
      </c>
      <c r="E47" s="119" t="s">
        <v>211</v>
      </c>
      <c r="F47" s="44">
        <v>0.4</v>
      </c>
      <c r="G47" s="127">
        <v>206</v>
      </c>
      <c r="H47" s="7">
        <v>69</v>
      </c>
      <c r="I47" s="7">
        <v>20</v>
      </c>
      <c r="J47" s="7">
        <v>493</v>
      </c>
      <c r="K47" s="7">
        <v>61</v>
      </c>
      <c r="L47" s="7">
        <v>86</v>
      </c>
      <c r="M47" s="7">
        <v>165</v>
      </c>
      <c r="N47" s="7">
        <v>70</v>
      </c>
      <c r="O47" s="7">
        <v>55</v>
      </c>
      <c r="P47" s="137">
        <v>32</v>
      </c>
      <c r="Q47" s="142">
        <v>7.6</v>
      </c>
      <c r="R47" s="25">
        <v>2.5</v>
      </c>
      <c r="S47" s="25">
        <v>0.7</v>
      </c>
      <c r="T47" s="25">
        <v>17.8</v>
      </c>
      <c r="U47" s="25">
        <v>2.2000000000000002</v>
      </c>
      <c r="V47" s="25">
        <v>3</v>
      </c>
      <c r="W47" s="25">
        <v>5.8</v>
      </c>
      <c r="X47" s="25">
        <v>2.4</v>
      </c>
      <c r="Y47" s="25">
        <v>1.9</v>
      </c>
      <c r="Z47" s="133">
        <v>1.1000000000000001</v>
      </c>
    </row>
    <row r="48" spans="1:26" ht="29.25" customHeight="1">
      <c r="A48" s="5"/>
      <c r="B48" s="5" t="s">
        <v>180</v>
      </c>
      <c r="C48" s="8" t="s">
        <v>210</v>
      </c>
      <c r="D48" s="8">
        <v>-0.08</v>
      </c>
      <c r="E48" s="119" t="s">
        <v>211</v>
      </c>
      <c r="F48" s="44">
        <v>1.1000000000000001</v>
      </c>
      <c r="G48" s="127">
        <v>438</v>
      </c>
      <c r="H48" s="7">
        <v>608</v>
      </c>
      <c r="I48" s="7">
        <v>443</v>
      </c>
      <c r="J48" s="7">
        <v>662</v>
      </c>
      <c r="K48" s="7">
        <v>477</v>
      </c>
      <c r="L48" s="7">
        <v>468</v>
      </c>
      <c r="M48" s="7">
        <v>332</v>
      </c>
      <c r="N48" s="7">
        <v>184</v>
      </c>
      <c r="O48" s="7">
        <v>238</v>
      </c>
      <c r="P48" s="137">
        <v>206</v>
      </c>
      <c r="Q48" s="142">
        <v>16.2</v>
      </c>
      <c r="R48" s="25">
        <v>22.3</v>
      </c>
      <c r="S48" s="25">
        <v>16.100000000000001</v>
      </c>
      <c r="T48" s="25">
        <v>23.8</v>
      </c>
      <c r="U48" s="25">
        <v>17</v>
      </c>
      <c r="V48" s="25">
        <v>16.5</v>
      </c>
      <c r="W48" s="25">
        <v>11.6</v>
      </c>
      <c r="X48" s="25">
        <v>6.4</v>
      </c>
      <c r="Y48" s="25">
        <v>8.1999999999999993</v>
      </c>
      <c r="Z48" s="133">
        <v>7.1</v>
      </c>
    </row>
    <row r="49" spans="1:26" ht="29.25" customHeight="1">
      <c r="A49" s="5"/>
      <c r="B49" s="5" t="s">
        <v>181</v>
      </c>
      <c r="C49" s="8" t="s">
        <v>210</v>
      </c>
      <c r="D49" s="8">
        <v>-4.2999999999999997E-2</v>
      </c>
      <c r="E49" s="119" t="s">
        <v>211</v>
      </c>
      <c r="F49" s="44">
        <v>1.6</v>
      </c>
      <c r="G49" s="127">
        <v>1275</v>
      </c>
      <c r="H49" s="7">
        <v>987</v>
      </c>
      <c r="I49" s="7">
        <v>817</v>
      </c>
      <c r="J49" s="7">
        <v>960</v>
      </c>
      <c r="K49" s="7">
        <v>1575</v>
      </c>
      <c r="L49" s="7">
        <v>1287</v>
      </c>
      <c r="M49" s="7">
        <v>1186</v>
      </c>
      <c r="N49" s="7">
        <v>578</v>
      </c>
      <c r="O49" s="7">
        <v>808</v>
      </c>
      <c r="P49" s="137">
        <v>859</v>
      </c>
      <c r="Q49" s="142">
        <v>47.1</v>
      </c>
      <c r="R49" s="25">
        <v>36.1</v>
      </c>
      <c r="S49" s="25">
        <v>29.7</v>
      </c>
      <c r="T49" s="25">
        <v>34.6</v>
      </c>
      <c r="U49" s="25">
        <v>56.1</v>
      </c>
      <c r="V49" s="25">
        <v>45.4</v>
      </c>
      <c r="W49" s="25">
        <v>41.4</v>
      </c>
      <c r="X49" s="25">
        <v>20</v>
      </c>
      <c r="Y49" s="25">
        <v>27.9</v>
      </c>
      <c r="Z49" s="133">
        <v>29.7</v>
      </c>
    </row>
    <row r="50" spans="1:26" ht="29.25" customHeight="1">
      <c r="A50" s="5"/>
      <c r="B50" s="5" t="s">
        <v>182</v>
      </c>
      <c r="C50" s="8" t="s">
        <v>210</v>
      </c>
      <c r="D50" s="8">
        <v>-6.7000000000000004E-2</v>
      </c>
      <c r="E50" s="119" t="s">
        <v>211</v>
      </c>
      <c r="F50" s="44">
        <v>1.2</v>
      </c>
      <c r="G50" s="127">
        <v>192</v>
      </c>
      <c r="H50" s="7">
        <v>219</v>
      </c>
      <c r="I50" s="7">
        <v>270</v>
      </c>
      <c r="J50" s="7">
        <v>141</v>
      </c>
      <c r="K50" s="7">
        <v>228</v>
      </c>
      <c r="L50" s="7">
        <v>83</v>
      </c>
      <c r="M50" s="7">
        <v>41</v>
      </c>
      <c r="N50" s="7">
        <v>43</v>
      </c>
      <c r="O50" s="7">
        <v>59</v>
      </c>
      <c r="P50" s="137">
        <v>103</v>
      </c>
      <c r="Q50" s="142">
        <v>7.1</v>
      </c>
      <c r="R50" s="25">
        <v>8</v>
      </c>
      <c r="S50" s="25">
        <v>9.8000000000000007</v>
      </c>
      <c r="T50" s="25">
        <v>5.0999999999999996</v>
      </c>
      <c r="U50" s="25">
        <v>8.1</v>
      </c>
      <c r="V50" s="25">
        <v>2.9</v>
      </c>
      <c r="W50" s="25">
        <v>1.4</v>
      </c>
      <c r="X50" s="25">
        <v>1.5</v>
      </c>
      <c r="Y50" s="25">
        <v>2</v>
      </c>
      <c r="Z50" s="133">
        <v>3.6</v>
      </c>
    </row>
    <row r="51" spans="1:26" ht="29.25" customHeight="1">
      <c r="A51" s="5"/>
      <c r="B51" s="5" t="s">
        <v>183</v>
      </c>
      <c r="C51" s="8" t="s">
        <v>210</v>
      </c>
      <c r="D51" s="8" t="s">
        <v>210</v>
      </c>
      <c r="E51" s="119" t="s">
        <v>211</v>
      </c>
      <c r="F51" s="44">
        <v>0.8</v>
      </c>
      <c r="G51" s="127">
        <v>83</v>
      </c>
      <c r="H51" s="7">
        <v>72</v>
      </c>
      <c r="I51" s="7">
        <v>123</v>
      </c>
      <c r="J51" s="7">
        <v>155</v>
      </c>
      <c r="K51" s="7">
        <v>145</v>
      </c>
      <c r="L51" s="7">
        <v>107</v>
      </c>
      <c r="M51" s="7">
        <v>95</v>
      </c>
      <c r="N51" s="7">
        <v>90</v>
      </c>
      <c r="O51" s="7">
        <v>140</v>
      </c>
      <c r="P51" s="137">
        <v>91</v>
      </c>
      <c r="Q51" s="142">
        <v>3.1</v>
      </c>
      <c r="R51" s="25">
        <v>2.6</v>
      </c>
      <c r="S51" s="25">
        <v>4.5</v>
      </c>
      <c r="T51" s="25">
        <v>5.6</v>
      </c>
      <c r="U51" s="25">
        <v>5.2</v>
      </c>
      <c r="V51" s="25">
        <v>3.8</v>
      </c>
      <c r="W51" s="25">
        <v>3.3</v>
      </c>
      <c r="X51" s="25">
        <v>3.1</v>
      </c>
      <c r="Y51" s="25">
        <v>4.8</v>
      </c>
      <c r="Z51" s="133">
        <v>3.1</v>
      </c>
    </row>
    <row r="52" spans="1:26" ht="29.25" customHeight="1">
      <c r="A52" s="5"/>
      <c r="B52" s="5" t="s">
        <v>184</v>
      </c>
      <c r="C52" s="8" t="s">
        <v>210</v>
      </c>
      <c r="D52" s="8">
        <v>-9.0999999999999998E-2</v>
      </c>
      <c r="E52" s="119" t="s">
        <v>211</v>
      </c>
      <c r="F52" s="44">
        <v>2.1</v>
      </c>
      <c r="G52" s="127">
        <v>815</v>
      </c>
      <c r="H52" s="7">
        <v>726</v>
      </c>
      <c r="I52" s="7">
        <v>786</v>
      </c>
      <c r="J52" s="7">
        <v>894</v>
      </c>
      <c r="K52" s="7">
        <v>703</v>
      </c>
      <c r="L52" s="7">
        <v>715</v>
      </c>
      <c r="M52" s="7">
        <v>606</v>
      </c>
      <c r="N52" s="7">
        <v>446</v>
      </c>
      <c r="O52" s="7">
        <v>530</v>
      </c>
      <c r="P52" s="137">
        <v>347</v>
      </c>
      <c r="Q52" s="142">
        <v>30.1</v>
      </c>
      <c r="R52" s="25">
        <v>26.6</v>
      </c>
      <c r="S52" s="25">
        <v>28.5</v>
      </c>
      <c r="T52" s="25">
        <v>32.200000000000003</v>
      </c>
      <c r="U52" s="25">
        <v>25</v>
      </c>
      <c r="V52" s="25">
        <v>25.2</v>
      </c>
      <c r="W52" s="25">
        <v>21.2</v>
      </c>
      <c r="X52" s="25">
        <v>15.4</v>
      </c>
      <c r="Y52" s="25">
        <v>18.3</v>
      </c>
      <c r="Z52" s="133">
        <v>12</v>
      </c>
    </row>
    <row r="53" spans="1:26" ht="29.25" customHeight="1">
      <c r="A53" s="5"/>
      <c r="B53" s="5" t="s">
        <v>185</v>
      </c>
      <c r="C53" s="8" t="s">
        <v>212</v>
      </c>
      <c r="D53" s="8" t="s">
        <v>212</v>
      </c>
      <c r="E53" s="119" t="s">
        <v>211</v>
      </c>
      <c r="F53" s="44">
        <v>0.7</v>
      </c>
      <c r="G53" s="127">
        <v>36</v>
      </c>
      <c r="H53" s="7">
        <v>28</v>
      </c>
      <c r="I53" s="7">
        <v>30</v>
      </c>
      <c r="J53" s="7">
        <v>22</v>
      </c>
      <c r="K53" s="7">
        <v>20</v>
      </c>
      <c r="L53" s="7">
        <v>22</v>
      </c>
      <c r="M53" s="7">
        <v>15</v>
      </c>
      <c r="N53" s="7">
        <v>13</v>
      </c>
      <c r="O53" s="7">
        <v>14</v>
      </c>
      <c r="P53" s="137">
        <v>13</v>
      </c>
      <c r="Q53" s="142">
        <v>1.3</v>
      </c>
      <c r="R53" s="25">
        <v>1</v>
      </c>
      <c r="S53" s="25">
        <v>1.1000000000000001</v>
      </c>
      <c r="T53" s="25">
        <v>0.8</v>
      </c>
      <c r="U53" s="25">
        <v>0.7</v>
      </c>
      <c r="V53" s="25">
        <v>0.8</v>
      </c>
      <c r="W53" s="25">
        <v>0.5</v>
      </c>
      <c r="X53" s="25">
        <v>0.4</v>
      </c>
      <c r="Y53" s="25">
        <v>0.5</v>
      </c>
      <c r="Z53" s="133">
        <v>0.4</v>
      </c>
    </row>
    <row r="54" spans="1:26" ht="29.25" customHeight="1">
      <c r="A54" s="5"/>
      <c r="B54" s="5" t="s">
        <v>186</v>
      </c>
      <c r="C54" s="8" t="s">
        <v>212</v>
      </c>
      <c r="D54" s="8" t="s">
        <v>212</v>
      </c>
      <c r="E54" s="119" t="s">
        <v>211</v>
      </c>
      <c r="F54" s="44">
        <v>0.4</v>
      </c>
      <c r="G54" s="127">
        <v>7</v>
      </c>
      <c r="H54" s="7">
        <v>10</v>
      </c>
      <c r="I54" s="7">
        <v>11</v>
      </c>
      <c r="J54" s="7">
        <v>9</v>
      </c>
      <c r="K54" s="7">
        <v>27</v>
      </c>
      <c r="L54" s="7">
        <v>24</v>
      </c>
      <c r="M54" s="7">
        <v>20</v>
      </c>
      <c r="N54" s="7">
        <v>10</v>
      </c>
      <c r="O54" s="7">
        <v>8</v>
      </c>
      <c r="P54" s="137">
        <v>9</v>
      </c>
      <c r="Q54" s="142">
        <v>0.3</v>
      </c>
      <c r="R54" s="25">
        <v>0.4</v>
      </c>
      <c r="S54" s="25">
        <v>0.4</v>
      </c>
      <c r="T54" s="25">
        <v>0.3</v>
      </c>
      <c r="U54" s="25">
        <v>1</v>
      </c>
      <c r="V54" s="25">
        <v>0.8</v>
      </c>
      <c r="W54" s="25">
        <v>0.7</v>
      </c>
      <c r="X54" s="25">
        <v>0.3</v>
      </c>
      <c r="Y54" s="25">
        <v>0.3</v>
      </c>
      <c r="Z54" s="133">
        <v>0.3</v>
      </c>
    </row>
    <row r="55" spans="1:26" ht="29.25" customHeight="1">
      <c r="A55" s="5"/>
      <c r="B55" s="5" t="s">
        <v>187</v>
      </c>
      <c r="C55" s="8" t="s">
        <v>210</v>
      </c>
      <c r="D55" s="8">
        <v>-3.2000000000000001E-2</v>
      </c>
      <c r="E55" s="119" t="s">
        <v>211</v>
      </c>
      <c r="F55" s="44">
        <v>1</v>
      </c>
      <c r="G55" s="127">
        <v>2245</v>
      </c>
      <c r="H55" s="7">
        <v>1978</v>
      </c>
      <c r="I55" s="7">
        <v>2007</v>
      </c>
      <c r="J55" s="7">
        <v>2262</v>
      </c>
      <c r="K55" s="7">
        <v>2296</v>
      </c>
      <c r="L55" s="7">
        <v>2123</v>
      </c>
      <c r="M55" s="7">
        <v>1715</v>
      </c>
      <c r="N55" s="7">
        <v>1721</v>
      </c>
      <c r="O55" s="7">
        <v>1767</v>
      </c>
      <c r="P55" s="137">
        <v>1676</v>
      </c>
      <c r="Q55" s="142">
        <v>82.9</v>
      </c>
      <c r="R55" s="25">
        <v>72.400000000000006</v>
      </c>
      <c r="S55" s="25">
        <v>72.8</v>
      </c>
      <c r="T55" s="25">
        <v>81.400000000000006</v>
      </c>
      <c r="U55" s="25">
        <v>81.7</v>
      </c>
      <c r="V55" s="25">
        <v>74.900000000000006</v>
      </c>
      <c r="W55" s="25">
        <v>59.9</v>
      </c>
      <c r="X55" s="25">
        <v>59.5</v>
      </c>
      <c r="Y55" s="25">
        <v>61.1</v>
      </c>
      <c r="Z55" s="133">
        <v>58</v>
      </c>
    </row>
    <row r="56" spans="1:26" ht="29.25" customHeight="1">
      <c r="A56" s="14" t="s">
        <v>22</v>
      </c>
      <c r="B56" s="14"/>
      <c r="C56" s="18" t="s">
        <v>210</v>
      </c>
      <c r="D56" s="18">
        <v>0.02</v>
      </c>
      <c r="E56" s="121" t="s">
        <v>211</v>
      </c>
      <c r="F56" s="123">
        <v>1.5</v>
      </c>
      <c r="G56" s="129">
        <v>6679</v>
      </c>
      <c r="H56" s="16">
        <v>6311</v>
      </c>
      <c r="I56" s="16">
        <v>7259</v>
      </c>
      <c r="J56" s="16">
        <v>8164</v>
      </c>
      <c r="K56" s="16">
        <v>8709</v>
      </c>
      <c r="L56" s="16">
        <v>7454</v>
      </c>
      <c r="M56" s="16">
        <v>6650</v>
      </c>
      <c r="N56" s="16">
        <v>6841</v>
      </c>
      <c r="O56" s="16">
        <v>8242</v>
      </c>
      <c r="P56" s="139">
        <v>7951</v>
      </c>
      <c r="Q56" s="144">
        <v>246.6</v>
      </c>
      <c r="R56" s="17">
        <v>231.1</v>
      </c>
      <c r="S56" s="17">
        <v>263.5</v>
      </c>
      <c r="T56" s="17">
        <v>294</v>
      </c>
      <c r="U56" s="17">
        <v>310</v>
      </c>
      <c r="V56" s="17">
        <v>262.89999999999998</v>
      </c>
      <c r="W56" s="17">
        <v>232.3</v>
      </c>
      <c r="X56" s="17">
        <v>236.6</v>
      </c>
      <c r="Y56" s="17">
        <v>285</v>
      </c>
      <c r="Z56" s="135">
        <v>275</v>
      </c>
    </row>
    <row r="57" spans="1:26" ht="29.25" customHeight="1">
      <c r="A57" s="5" t="s">
        <v>23</v>
      </c>
      <c r="B57" s="5" t="s">
        <v>188</v>
      </c>
      <c r="C57" s="8" t="s">
        <v>210</v>
      </c>
      <c r="D57" s="8">
        <v>1.6E-2</v>
      </c>
      <c r="E57" s="119" t="s">
        <v>211</v>
      </c>
      <c r="F57" s="44">
        <v>1.4</v>
      </c>
      <c r="G57" s="127">
        <v>5642</v>
      </c>
      <c r="H57" s="7">
        <v>5506</v>
      </c>
      <c r="I57" s="7">
        <v>5507</v>
      </c>
      <c r="J57" s="7">
        <v>5741</v>
      </c>
      <c r="K57" s="7">
        <v>5872</v>
      </c>
      <c r="L57" s="7">
        <v>5254</v>
      </c>
      <c r="M57" s="7">
        <v>5121</v>
      </c>
      <c r="N57" s="7">
        <v>6203</v>
      </c>
      <c r="O57" s="7">
        <v>6806</v>
      </c>
      <c r="P57" s="137">
        <v>6515</v>
      </c>
      <c r="Q57" s="142">
        <v>208.4</v>
      </c>
      <c r="R57" s="25">
        <v>201.6</v>
      </c>
      <c r="S57" s="25">
        <v>199.9</v>
      </c>
      <c r="T57" s="25">
        <v>206.7</v>
      </c>
      <c r="U57" s="25">
        <v>209</v>
      </c>
      <c r="V57" s="25">
        <v>185.3</v>
      </c>
      <c r="W57" s="25">
        <v>178.9</v>
      </c>
      <c r="X57" s="25">
        <v>214.5</v>
      </c>
      <c r="Y57" s="25">
        <v>235.4</v>
      </c>
      <c r="Z57" s="133">
        <v>225.3</v>
      </c>
    </row>
    <row r="58" spans="1:26" ht="29.25" customHeight="1">
      <c r="A58" s="5"/>
      <c r="B58" s="5" t="s">
        <v>24</v>
      </c>
      <c r="C58" s="8">
        <v>-0.112</v>
      </c>
      <c r="D58" s="8">
        <v>-8.6999999999999994E-2</v>
      </c>
      <c r="E58" s="119" t="s">
        <v>211</v>
      </c>
      <c r="F58" s="44">
        <v>1.3</v>
      </c>
      <c r="G58" s="127">
        <v>2840</v>
      </c>
      <c r="H58" s="7">
        <v>2638</v>
      </c>
      <c r="I58" s="7">
        <v>2605</v>
      </c>
      <c r="J58" s="7">
        <v>2233</v>
      </c>
      <c r="K58" s="7">
        <v>1922</v>
      </c>
      <c r="L58" s="7">
        <v>1759</v>
      </c>
      <c r="M58" s="7">
        <v>1659</v>
      </c>
      <c r="N58" s="7">
        <v>1561</v>
      </c>
      <c r="O58" s="7">
        <v>1405</v>
      </c>
      <c r="P58" s="137">
        <v>1247</v>
      </c>
      <c r="Q58" s="142">
        <v>104.9</v>
      </c>
      <c r="R58" s="25">
        <v>96.6</v>
      </c>
      <c r="S58" s="25">
        <v>94.6</v>
      </c>
      <c r="T58" s="25">
        <v>80.400000000000006</v>
      </c>
      <c r="U58" s="25">
        <v>68.400000000000006</v>
      </c>
      <c r="V58" s="25">
        <v>62</v>
      </c>
      <c r="W58" s="25">
        <v>57.9</v>
      </c>
      <c r="X58" s="25">
        <v>54</v>
      </c>
      <c r="Y58" s="25">
        <v>48.6</v>
      </c>
      <c r="Z58" s="133">
        <v>43.1</v>
      </c>
    </row>
    <row r="59" spans="1:26" ht="29.25" customHeight="1">
      <c r="A59" s="5"/>
      <c r="B59" s="5" t="s">
        <v>25</v>
      </c>
      <c r="C59" s="8">
        <v>-0.247</v>
      </c>
      <c r="D59" s="8">
        <v>-0.17</v>
      </c>
      <c r="E59" s="119" t="s">
        <v>211</v>
      </c>
      <c r="F59" s="44">
        <v>1.4</v>
      </c>
      <c r="G59" s="127">
        <v>2109</v>
      </c>
      <c r="H59" s="7">
        <v>1780</v>
      </c>
      <c r="I59" s="7">
        <v>1709</v>
      </c>
      <c r="J59" s="7">
        <v>1254</v>
      </c>
      <c r="K59" s="7">
        <v>1133</v>
      </c>
      <c r="L59" s="7">
        <v>983</v>
      </c>
      <c r="M59" s="7">
        <v>805</v>
      </c>
      <c r="N59" s="7">
        <v>663</v>
      </c>
      <c r="O59" s="7">
        <v>522</v>
      </c>
      <c r="P59" s="137">
        <v>393</v>
      </c>
      <c r="Q59" s="142">
        <v>77.900000000000006</v>
      </c>
      <c r="R59" s="25">
        <v>65.2</v>
      </c>
      <c r="S59" s="25">
        <v>62</v>
      </c>
      <c r="T59" s="25">
        <v>45.2</v>
      </c>
      <c r="U59" s="25">
        <v>40.299999999999997</v>
      </c>
      <c r="V59" s="25">
        <v>34.700000000000003</v>
      </c>
      <c r="W59" s="25">
        <v>28.1</v>
      </c>
      <c r="X59" s="25">
        <v>22.9</v>
      </c>
      <c r="Y59" s="25">
        <v>18.100000000000001</v>
      </c>
      <c r="Z59" s="133">
        <v>13.6</v>
      </c>
    </row>
    <row r="60" spans="1:26" ht="29.25" customHeight="1">
      <c r="A60" s="3"/>
      <c r="B60" s="3" t="s">
        <v>189</v>
      </c>
      <c r="C60" s="13" t="s">
        <v>210</v>
      </c>
      <c r="D60" s="13">
        <v>3.5000000000000003E-2</v>
      </c>
      <c r="E60" s="120" t="s">
        <v>211</v>
      </c>
      <c r="F60" s="44">
        <v>1.3</v>
      </c>
      <c r="G60" s="128">
        <v>983</v>
      </c>
      <c r="H60" s="11">
        <v>1006</v>
      </c>
      <c r="I60" s="11">
        <v>1052</v>
      </c>
      <c r="J60" s="11">
        <v>1053</v>
      </c>
      <c r="K60" s="11">
        <v>1121</v>
      </c>
      <c r="L60" s="11">
        <v>1102</v>
      </c>
      <c r="M60" s="11">
        <v>1116</v>
      </c>
      <c r="N60" s="11">
        <v>1285</v>
      </c>
      <c r="O60" s="11">
        <v>1394</v>
      </c>
      <c r="P60" s="138">
        <v>1344</v>
      </c>
      <c r="Q60" s="143">
        <v>36.299999999999997</v>
      </c>
      <c r="R60" s="12">
        <v>36.799999999999997</v>
      </c>
      <c r="S60" s="12">
        <v>38.200000000000003</v>
      </c>
      <c r="T60" s="12">
        <v>37.9</v>
      </c>
      <c r="U60" s="12">
        <v>39.9</v>
      </c>
      <c r="V60" s="12">
        <v>38.9</v>
      </c>
      <c r="W60" s="12">
        <v>39</v>
      </c>
      <c r="X60" s="12">
        <v>44.4</v>
      </c>
      <c r="Y60" s="12">
        <v>48.2</v>
      </c>
      <c r="Z60" s="134">
        <v>46.5</v>
      </c>
    </row>
    <row r="61" spans="1:26" ht="29.25" customHeight="1">
      <c r="A61" s="14" t="s">
        <v>26</v>
      </c>
      <c r="B61" s="14"/>
      <c r="C61" s="18" t="s">
        <v>212</v>
      </c>
      <c r="D61" s="18" t="s">
        <v>212</v>
      </c>
      <c r="E61" s="121" t="s">
        <v>211</v>
      </c>
      <c r="F61" s="123">
        <v>1.4</v>
      </c>
      <c r="G61" s="129">
        <v>97</v>
      </c>
      <c r="H61" s="16">
        <v>70</v>
      </c>
      <c r="I61" s="16">
        <v>71</v>
      </c>
      <c r="J61" s="16">
        <v>153</v>
      </c>
      <c r="K61" s="16">
        <v>43</v>
      </c>
      <c r="L61" s="16">
        <v>33</v>
      </c>
      <c r="M61" s="16">
        <v>25</v>
      </c>
      <c r="N61" s="16">
        <v>16</v>
      </c>
      <c r="O61" s="16">
        <v>12</v>
      </c>
      <c r="P61" s="139">
        <v>9</v>
      </c>
      <c r="Q61" s="144">
        <v>3.6</v>
      </c>
      <c r="R61" s="17">
        <v>2.6</v>
      </c>
      <c r="S61" s="17">
        <v>2.6</v>
      </c>
      <c r="T61" s="17">
        <v>5.5</v>
      </c>
      <c r="U61" s="17">
        <v>1.5</v>
      </c>
      <c r="V61" s="17">
        <v>1.2</v>
      </c>
      <c r="W61" s="17">
        <v>0.9</v>
      </c>
      <c r="X61" s="17">
        <v>0.6</v>
      </c>
      <c r="Y61" s="17">
        <v>0.4</v>
      </c>
      <c r="Z61" s="135">
        <v>0.3</v>
      </c>
    </row>
    <row r="62" spans="1:26" ht="29.25" customHeight="1">
      <c r="A62" s="14" t="s">
        <v>27</v>
      </c>
      <c r="B62" s="14"/>
      <c r="C62" s="18">
        <v>-0.217</v>
      </c>
      <c r="D62" s="18">
        <v>-6.6000000000000003E-2</v>
      </c>
      <c r="E62" s="121" t="s">
        <v>211</v>
      </c>
      <c r="F62" s="123">
        <v>1.2</v>
      </c>
      <c r="G62" s="129">
        <v>4032</v>
      </c>
      <c r="H62" s="16">
        <v>4077</v>
      </c>
      <c r="I62" s="16">
        <v>4119</v>
      </c>
      <c r="J62" s="16">
        <v>3973</v>
      </c>
      <c r="K62" s="16">
        <v>3102</v>
      </c>
      <c r="L62" s="16">
        <v>2939</v>
      </c>
      <c r="M62" s="16">
        <v>2828</v>
      </c>
      <c r="N62" s="16">
        <v>3365</v>
      </c>
      <c r="O62" s="16">
        <v>2775</v>
      </c>
      <c r="P62" s="139">
        <v>2174</v>
      </c>
      <c r="Q62" s="144">
        <v>148.9</v>
      </c>
      <c r="R62" s="17">
        <v>149.30000000000001</v>
      </c>
      <c r="S62" s="17">
        <v>149.5</v>
      </c>
      <c r="T62" s="17">
        <v>143.1</v>
      </c>
      <c r="U62" s="17">
        <v>110.4</v>
      </c>
      <c r="V62" s="17">
        <v>103.7</v>
      </c>
      <c r="W62" s="17">
        <v>98.8</v>
      </c>
      <c r="X62" s="17">
        <v>116.4</v>
      </c>
      <c r="Y62" s="17">
        <v>96</v>
      </c>
      <c r="Z62" s="135">
        <v>75.2</v>
      </c>
    </row>
    <row r="63" spans="1:26" ht="29.25" customHeight="1">
      <c r="A63" s="14" t="s">
        <v>28</v>
      </c>
      <c r="B63" s="14"/>
      <c r="C63" s="18" t="s">
        <v>210</v>
      </c>
      <c r="D63" s="18">
        <v>9.6000000000000002E-2</v>
      </c>
      <c r="E63" s="121" t="s">
        <v>211</v>
      </c>
      <c r="F63" s="123">
        <v>1.5</v>
      </c>
      <c r="G63" s="129">
        <v>287</v>
      </c>
      <c r="H63" s="16">
        <v>278</v>
      </c>
      <c r="I63" s="16">
        <v>307</v>
      </c>
      <c r="J63" s="16">
        <v>314</v>
      </c>
      <c r="K63" s="16">
        <v>327</v>
      </c>
      <c r="L63" s="16">
        <v>427</v>
      </c>
      <c r="M63" s="16">
        <v>479</v>
      </c>
      <c r="N63" s="16">
        <v>554</v>
      </c>
      <c r="O63" s="16">
        <v>614</v>
      </c>
      <c r="P63" s="139">
        <v>653</v>
      </c>
      <c r="Q63" s="144">
        <v>10.6</v>
      </c>
      <c r="R63" s="17">
        <v>10.199999999999999</v>
      </c>
      <c r="S63" s="17">
        <v>11.1</v>
      </c>
      <c r="T63" s="17">
        <v>11.3</v>
      </c>
      <c r="U63" s="17">
        <v>11.6</v>
      </c>
      <c r="V63" s="17">
        <v>15.1</v>
      </c>
      <c r="W63" s="17">
        <v>16.7</v>
      </c>
      <c r="X63" s="17">
        <v>19.2</v>
      </c>
      <c r="Y63" s="17">
        <v>21.2</v>
      </c>
      <c r="Z63" s="135">
        <v>22.6</v>
      </c>
    </row>
    <row r="64" spans="1:26" ht="29.25" customHeight="1">
      <c r="A64" s="5" t="s">
        <v>29</v>
      </c>
      <c r="B64" s="5" t="s">
        <v>190</v>
      </c>
      <c r="C64" s="8" t="s">
        <v>210</v>
      </c>
      <c r="D64" s="8">
        <v>-5.0999999999999997E-2</v>
      </c>
      <c r="E64" s="119" t="s">
        <v>211</v>
      </c>
      <c r="F64" s="44">
        <v>1.3</v>
      </c>
      <c r="G64" s="127">
        <v>109</v>
      </c>
      <c r="H64" s="7">
        <v>77</v>
      </c>
      <c r="I64" s="7">
        <v>82</v>
      </c>
      <c r="J64" s="7">
        <v>96</v>
      </c>
      <c r="K64" s="7">
        <v>95</v>
      </c>
      <c r="L64" s="7">
        <v>71</v>
      </c>
      <c r="M64" s="7">
        <v>76</v>
      </c>
      <c r="N64" s="7">
        <v>63</v>
      </c>
      <c r="O64" s="7">
        <v>86</v>
      </c>
      <c r="P64" s="137">
        <v>68</v>
      </c>
      <c r="Q64" s="142">
        <v>4</v>
      </c>
      <c r="R64" s="25">
        <v>2.8</v>
      </c>
      <c r="S64" s="25">
        <v>3</v>
      </c>
      <c r="T64" s="25">
        <v>3.5</v>
      </c>
      <c r="U64" s="25">
        <v>3.4</v>
      </c>
      <c r="V64" s="25">
        <v>2.5</v>
      </c>
      <c r="W64" s="25">
        <v>2.7</v>
      </c>
      <c r="X64" s="25">
        <v>2.2000000000000002</v>
      </c>
      <c r="Y64" s="25">
        <v>3</v>
      </c>
      <c r="Z64" s="133">
        <v>2.4</v>
      </c>
    </row>
    <row r="65" spans="1:26" ht="29.25" customHeight="1">
      <c r="A65" s="5"/>
      <c r="B65" s="5" t="s">
        <v>30</v>
      </c>
      <c r="C65" s="8">
        <v>5.7000000000000002E-2</v>
      </c>
      <c r="D65" s="8">
        <v>7.0999999999999994E-2</v>
      </c>
      <c r="E65" s="119" t="s">
        <v>211</v>
      </c>
      <c r="F65" s="44">
        <v>1.6</v>
      </c>
      <c r="G65" s="127">
        <v>7932</v>
      </c>
      <c r="H65" s="7">
        <v>7683</v>
      </c>
      <c r="I65" s="7">
        <v>7859</v>
      </c>
      <c r="J65" s="7">
        <v>8741</v>
      </c>
      <c r="K65" s="7">
        <v>10037</v>
      </c>
      <c r="L65" s="7">
        <v>10933</v>
      </c>
      <c r="M65" s="7">
        <v>11554</v>
      </c>
      <c r="N65" s="7">
        <v>12315</v>
      </c>
      <c r="O65" s="7">
        <v>13861</v>
      </c>
      <c r="P65" s="137">
        <v>14648</v>
      </c>
      <c r="Q65" s="142">
        <v>292.89999999999998</v>
      </c>
      <c r="R65" s="25">
        <v>281.3</v>
      </c>
      <c r="S65" s="25">
        <v>285.3</v>
      </c>
      <c r="T65" s="25">
        <v>314.7</v>
      </c>
      <c r="U65" s="25">
        <v>357.3</v>
      </c>
      <c r="V65" s="25">
        <v>385.6</v>
      </c>
      <c r="W65" s="25">
        <v>403.6</v>
      </c>
      <c r="X65" s="25">
        <v>425.9</v>
      </c>
      <c r="Y65" s="25">
        <v>479.3</v>
      </c>
      <c r="Z65" s="133">
        <v>506.5</v>
      </c>
    </row>
    <row r="66" spans="1:26" ht="29.25" customHeight="1">
      <c r="A66" s="5"/>
      <c r="B66" s="5" t="s">
        <v>191</v>
      </c>
      <c r="C66" s="8" t="s">
        <v>210</v>
      </c>
      <c r="D66" s="8">
        <v>6.4000000000000001E-2</v>
      </c>
      <c r="E66" s="119" t="s">
        <v>211</v>
      </c>
      <c r="F66" s="44">
        <v>1.3</v>
      </c>
      <c r="G66" s="127">
        <v>14271</v>
      </c>
      <c r="H66" s="7">
        <v>16084</v>
      </c>
      <c r="I66" s="7">
        <v>16023</v>
      </c>
      <c r="J66" s="7">
        <v>16721</v>
      </c>
      <c r="K66" s="7">
        <v>19192</v>
      </c>
      <c r="L66" s="7">
        <v>19639</v>
      </c>
      <c r="M66" s="7">
        <v>20707</v>
      </c>
      <c r="N66" s="7">
        <v>20641</v>
      </c>
      <c r="O66" s="7">
        <v>24178</v>
      </c>
      <c r="P66" s="137">
        <v>24911</v>
      </c>
      <c r="Q66" s="142">
        <v>527</v>
      </c>
      <c r="R66" s="25">
        <v>588.9</v>
      </c>
      <c r="S66" s="25">
        <v>581.6</v>
      </c>
      <c r="T66" s="25">
        <v>602.1</v>
      </c>
      <c r="U66" s="25">
        <v>683.1</v>
      </c>
      <c r="V66" s="25">
        <v>692.7</v>
      </c>
      <c r="W66" s="25">
        <v>723.3</v>
      </c>
      <c r="X66" s="25">
        <v>713.8</v>
      </c>
      <c r="Y66" s="25">
        <v>836.1</v>
      </c>
      <c r="Z66" s="133">
        <v>861.4</v>
      </c>
    </row>
    <row r="67" spans="1:26" ht="29.25" customHeight="1">
      <c r="A67" s="5"/>
      <c r="B67" s="5" t="s">
        <v>192</v>
      </c>
      <c r="C67" s="8">
        <v>-0.73399999999999999</v>
      </c>
      <c r="D67" s="8" t="s">
        <v>210</v>
      </c>
      <c r="E67" s="119" t="s">
        <v>211</v>
      </c>
      <c r="F67" s="44">
        <v>1.5</v>
      </c>
      <c r="G67" s="127">
        <v>271</v>
      </c>
      <c r="H67" s="7">
        <v>288</v>
      </c>
      <c r="I67" s="7">
        <v>229</v>
      </c>
      <c r="J67" s="7">
        <v>182</v>
      </c>
      <c r="K67" s="7">
        <v>285</v>
      </c>
      <c r="L67" s="7">
        <v>296</v>
      </c>
      <c r="M67" s="7">
        <v>384</v>
      </c>
      <c r="N67" s="7">
        <v>356</v>
      </c>
      <c r="O67" s="7">
        <v>316</v>
      </c>
      <c r="P67" s="137">
        <v>84</v>
      </c>
      <c r="Q67" s="142">
        <v>10</v>
      </c>
      <c r="R67" s="25">
        <v>10.5</v>
      </c>
      <c r="S67" s="25">
        <v>8.3000000000000007</v>
      </c>
      <c r="T67" s="25">
        <v>6.6</v>
      </c>
      <c r="U67" s="25">
        <v>10.1</v>
      </c>
      <c r="V67" s="25">
        <v>10.4</v>
      </c>
      <c r="W67" s="25">
        <v>13.4</v>
      </c>
      <c r="X67" s="25">
        <v>12.3</v>
      </c>
      <c r="Y67" s="25">
        <v>10.9</v>
      </c>
      <c r="Z67" s="133">
        <v>2.9</v>
      </c>
    </row>
    <row r="68" spans="1:26" ht="29.25" customHeight="1">
      <c r="A68" s="5"/>
      <c r="B68" s="5" t="s">
        <v>193</v>
      </c>
      <c r="C68" s="8" t="s">
        <v>210</v>
      </c>
      <c r="D68" s="8" t="s">
        <v>210</v>
      </c>
      <c r="E68" s="119" t="s">
        <v>211</v>
      </c>
      <c r="F68" s="44">
        <v>1.4</v>
      </c>
      <c r="G68" s="127">
        <v>2906</v>
      </c>
      <c r="H68" s="7">
        <v>2769</v>
      </c>
      <c r="I68" s="7">
        <v>2988</v>
      </c>
      <c r="J68" s="7">
        <v>2753</v>
      </c>
      <c r="K68" s="7">
        <v>2627</v>
      </c>
      <c r="L68" s="7">
        <v>2471</v>
      </c>
      <c r="M68" s="7">
        <v>2534</v>
      </c>
      <c r="N68" s="7">
        <v>2559</v>
      </c>
      <c r="O68" s="7">
        <v>2594</v>
      </c>
      <c r="P68" s="137">
        <v>2773</v>
      </c>
      <c r="Q68" s="142">
        <v>107.3</v>
      </c>
      <c r="R68" s="25">
        <v>101.4</v>
      </c>
      <c r="S68" s="25">
        <v>108.5</v>
      </c>
      <c r="T68" s="25">
        <v>99.1</v>
      </c>
      <c r="U68" s="25">
        <v>93.5</v>
      </c>
      <c r="V68" s="25">
        <v>87.2</v>
      </c>
      <c r="W68" s="25">
        <v>88.5</v>
      </c>
      <c r="X68" s="25">
        <v>88.5</v>
      </c>
      <c r="Y68" s="25">
        <v>89.7</v>
      </c>
      <c r="Z68" s="133">
        <v>95.9</v>
      </c>
    </row>
    <row r="69" spans="1:26" ht="29.25" customHeight="1">
      <c r="A69" s="3"/>
      <c r="B69" s="3" t="s">
        <v>194</v>
      </c>
      <c r="C69" s="13">
        <v>-0.216</v>
      </c>
      <c r="D69" s="13">
        <v>0.14499999999999999</v>
      </c>
      <c r="E69" s="120" t="s">
        <v>211</v>
      </c>
      <c r="F69" s="44">
        <v>1.1000000000000001</v>
      </c>
      <c r="G69" s="128">
        <v>231</v>
      </c>
      <c r="H69" s="11">
        <v>243</v>
      </c>
      <c r="I69" s="11">
        <v>212</v>
      </c>
      <c r="J69" s="11">
        <v>455</v>
      </c>
      <c r="K69" s="11">
        <v>763</v>
      </c>
      <c r="L69" s="11">
        <v>857</v>
      </c>
      <c r="M69" s="11">
        <v>1077</v>
      </c>
      <c r="N69" s="11">
        <v>1476</v>
      </c>
      <c r="O69" s="11">
        <v>1000</v>
      </c>
      <c r="P69" s="138">
        <v>784</v>
      </c>
      <c r="Q69" s="143">
        <v>8.5</v>
      </c>
      <c r="R69" s="12">
        <v>8.9</v>
      </c>
      <c r="S69" s="12">
        <v>7.7</v>
      </c>
      <c r="T69" s="12">
        <v>16.399999999999999</v>
      </c>
      <c r="U69" s="12">
        <v>27.2</v>
      </c>
      <c r="V69" s="12">
        <v>30.2</v>
      </c>
      <c r="W69" s="12">
        <v>37.6</v>
      </c>
      <c r="X69" s="12">
        <v>51</v>
      </c>
      <c r="Y69" s="12">
        <v>34.6</v>
      </c>
      <c r="Z69" s="134">
        <v>27.1</v>
      </c>
    </row>
    <row r="70" spans="1:26" ht="29.25" customHeight="1">
      <c r="A70" s="14" t="s">
        <v>31</v>
      </c>
      <c r="B70" s="14"/>
      <c r="C70" s="18" t="s">
        <v>210</v>
      </c>
      <c r="D70" s="18">
        <v>-7.2999999999999995E-2</v>
      </c>
      <c r="E70" s="121" t="s">
        <v>211</v>
      </c>
      <c r="F70" s="123">
        <v>0.3</v>
      </c>
      <c r="G70" s="129">
        <v>13349</v>
      </c>
      <c r="H70" s="16">
        <v>18429</v>
      </c>
      <c r="I70" s="16">
        <v>17155</v>
      </c>
      <c r="J70" s="16">
        <v>16756</v>
      </c>
      <c r="K70" s="16">
        <v>15203</v>
      </c>
      <c r="L70" s="16">
        <v>9115</v>
      </c>
      <c r="M70" s="16">
        <v>7290</v>
      </c>
      <c r="N70" s="16">
        <v>7821</v>
      </c>
      <c r="O70" s="16">
        <v>7074</v>
      </c>
      <c r="P70" s="139">
        <v>6722</v>
      </c>
      <c r="Q70" s="144">
        <v>493</v>
      </c>
      <c r="R70" s="17">
        <v>674.8</v>
      </c>
      <c r="S70" s="17">
        <v>622.70000000000005</v>
      </c>
      <c r="T70" s="17">
        <v>603.29999999999995</v>
      </c>
      <c r="U70" s="17">
        <v>541.1</v>
      </c>
      <c r="V70" s="17">
        <v>321.5</v>
      </c>
      <c r="W70" s="17">
        <v>254.6</v>
      </c>
      <c r="X70" s="17">
        <v>270.5</v>
      </c>
      <c r="Y70" s="17">
        <v>244.6</v>
      </c>
      <c r="Z70" s="135">
        <v>232.5</v>
      </c>
    </row>
    <row r="71" spans="1:26" ht="29.25" customHeight="1">
      <c r="A71" s="14" t="s">
        <v>32</v>
      </c>
      <c r="B71" s="14"/>
      <c r="C71" s="18" t="s">
        <v>210</v>
      </c>
      <c r="D71" s="18">
        <v>-0.03</v>
      </c>
      <c r="E71" s="121" t="s">
        <v>211</v>
      </c>
      <c r="F71" s="123">
        <v>1.3</v>
      </c>
      <c r="G71" s="129">
        <v>7010</v>
      </c>
      <c r="H71" s="16">
        <v>6884</v>
      </c>
      <c r="I71" s="16">
        <v>6821</v>
      </c>
      <c r="J71" s="16">
        <v>6595</v>
      </c>
      <c r="K71" s="16">
        <v>9875</v>
      </c>
      <c r="L71" s="16">
        <v>11105</v>
      </c>
      <c r="M71" s="16">
        <v>25134</v>
      </c>
      <c r="N71" s="16">
        <v>6850</v>
      </c>
      <c r="O71" s="16">
        <v>6213</v>
      </c>
      <c r="P71" s="139">
        <v>5345</v>
      </c>
      <c r="Q71" s="144">
        <v>258.89999999999998</v>
      </c>
      <c r="R71" s="17">
        <v>252.1</v>
      </c>
      <c r="S71" s="17">
        <v>247.6</v>
      </c>
      <c r="T71" s="17">
        <v>237.5</v>
      </c>
      <c r="U71" s="17">
        <v>351.5</v>
      </c>
      <c r="V71" s="17">
        <v>391.7</v>
      </c>
      <c r="W71" s="17">
        <v>877.9</v>
      </c>
      <c r="X71" s="17">
        <v>236.9</v>
      </c>
      <c r="Y71" s="17">
        <v>214.8</v>
      </c>
      <c r="Z71" s="135">
        <v>184.8</v>
      </c>
    </row>
    <row r="74" spans="1:26" ht="17.100000000000001" customHeight="1">
      <c r="A74" s="26" t="s">
        <v>34</v>
      </c>
    </row>
    <row r="75" spans="1:26" ht="17.100000000000001" customHeight="1">
      <c r="A75" s="26" t="s">
        <v>35</v>
      </c>
    </row>
    <row r="76" spans="1:26" ht="17.100000000000001" customHeight="1">
      <c r="A76" s="26" t="s">
        <v>153</v>
      </c>
    </row>
    <row r="77" spans="1:26" ht="17.100000000000001" customHeight="1">
      <c r="A77" s="26" t="s">
        <v>154</v>
      </c>
    </row>
    <row r="78" spans="1:26" ht="17.100000000000001" customHeight="1">
      <c r="A78" s="26" t="s">
        <v>209</v>
      </c>
    </row>
    <row r="79" spans="1:26" ht="17.100000000000001" customHeight="1">
      <c r="A79" s="69" t="s">
        <v>139</v>
      </c>
    </row>
    <row r="80" spans="1:26" ht="17.100000000000001" customHeight="1">
      <c r="A80" s="69" t="s">
        <v>140</v>
      </c>
      <c r="C80" s="4" t="s">
        <v>138</v>
      </c>
    </row>
    <row r="81" spans="1:7" ht="17.100000000000001" customHeight="1">
      <c r="A81" s="26" t="s">
        <v>36</v>
      </c>
    </row>
    <row r="82" spans="1:7" ht="17.100000000000001" customHeight="1">
      <c r="A82" s="26" t="s">
        <v>149</v>
      </c>
    </row>
    <row r="83" spans="1:7" ht="17.100000000000001" customHeight="1">
      <c r="A83" s="26" t="s">
        <v>150</v>
      </c>
    </row>
    <row r="84" spans="1:7" ht="17.100000000000001" customHeight="1">
      <c r="A84" s="26" t="s">
        <v>33</v>
      </c>
    </row>
    <row r="85" spans="1:7" ht="16.5" customHeight="1">
      <c r="A85" s="26" t="s">
        <v>155</v>
      </c>
    </row>
    <row r="86" spans="1:7" ht="16.5" customHeight="1">
      <c r="A86" s="26" t="s">
        <v>156</v>
      </c>
    </row>
    <row r="87" spans="1:7" ht="16.5" customHeight="1">
      <c r="A87" s="26" t="s">
        <v>157</v>
      </c>
    </row>
    <row r="88" spans="1:7" ht="16.5" customHeight="1">
      <c r="A88" s="26"/>
    </row>
    <row r="89" spans="1:7" ht="16.5" customHeight="1">
      <c r="A89" s="117" t="s">
        <v>147</v>
      </c>
      <c r="B89" s="26"/>
      <c r="C89" s="26"/>
      <c r="D89" s="26"/>
      <c r="E89" s="26"/>
      <c r="F89" s="26"/>
      <c r="G89" s="26"/>
    </row>
    <row r="90" spans="1:7" ht="16.5" customHeight="1">
      <c r="A90" s="117" t="s">
        <v>148</v>
      </c>
      <c r="B90" s="26"/>
      <c r="C90" s="26"/>
      <c r="D90" s="26"/>
      <c r="E90" s="26"/>
      <c r="F90" s="26"/>
      <c r="G90" s="26"/>
    </row>
    <row r="91" spans="1:7" ht="16.5" customHeight="1"/>
    <row r="92" spans="1:7" ht="16.5" customHeight="1">
      <c r="A92"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20.42578125" customWidth="1"/>
    <col min="2" max="10" width="12.42578125" customWidth="1"/>
  </cols>
  <sheetData>
    <row r="1" spans="1:11" ht="20.25">
      <c r="A1" s="2" t="s">
        <v>214</v>
      </c>
      <c r="H1" s="111" t="s">
        <v>124</v>
      </c>
    </row>
    <row r="3" spans="1:11" ht="18">
      <c r="A3" s="1" t="s">
        <v>99</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52" t="s">
        <v>208</v>
      </c>
      <c r="B5" s="48"/>
      <c r="C5" s="48"/>
      <c r="D5" s="48"/>
      <c r="E5" s="48"/>
      <c r="F5" s="48"/>
      <c r="G5" s="48"/>
      <c r="H5" s="48"/>
      <c r="I5" s="48"/>
      <c r="J5" s="48"/>
      <c r="K5" s="27"/>
    </row>
    <row r="6" spans="1:11" ht="63.75" customHeight="1">
      <c r="A6" s="49" t="s">
        <v>102</v>
      </c>
      <c r="B6" s="62" t="s">
        <v>129</v>
      </c>
      <c r="C6" s="50" t="s">
        <v>130</v>
      </c>
      <c r="D6" s="62" t="s">
        <v>39</v>
      </c>
      <c r="E6" s="38" t="s">
        <v>40</v>
      </c>
      <c r="F6" s="62" t="s">
        <v>5</v>
      </c>
      <c r="G6" s="38" t="s">
        <v>6</v>
      </c>
      <c r="H6" s="62" t="s">
        <v>7</v>
      </c>
      <c r="I6" s="38" t="s">
        <v>10</v>
      </c>
      <c r="J6" s="62" t="s">
        <v>12</v>
      </c>
      <c r="K6" s="27"/>
    </row>
    <row r="7" spans="1:11" ht="17.850000000000001" customHeight="1">
      <c r="A7" s="47" t="s">
        <v>41</v>
      </c>
      <c r="B7" s="6">
        <v>0</v>
      </c>
      <c r="C7" s="66">
        <v>3</v>
      </c>
      <c r="D7" s="67">
        <v>9</v>
      </c>
      <c r="E7" s="66">
        <v>1</v>
      </c>
      <c r="F7" s="67">
        <v>6</v>
      </c>
      <c r="G7" s="66">
        <v>0</v>
      </c>
      <c r="H7" s="67">
        <v>0</v>
      </c>
      <c r="I7" s="66">
        <v>0</v>
      </c>
      <c r="J7" s="67">
        <v>6</v>
      </c>
      <c r="K7" s="27"/>
    </row>
    <row r="8" spans="1:11" ht="17.850000000000001" customHeight="1">
      <c r="A8" s="47" t="s">
        <v>42</v>
      </c>
      <c r="B8" s="6">
        <v>7</v>
      </c>
      <c r="C8" s="66">
        <v>12</v>
      </c>
      <c r="D8" s="67">
        <v>2</v>
      </c>
      <c r="E8" s="66">
        <v>1</v>
      </c>
      <c r="F8" s="67">
        <v>9</v>
      </c>
      <c r="G8" s="66">
        <v>1</v>
      </c>
      <c r="H8" s="67">
        <v>0</v>
      </c>
      <c r="I8" s="66">
        <v>6</v>
      </c>
      <c r="J8" s="67">
        <v>63</v>
      </c>
      <c r="K8" s="27"/>
    </row>
    <row r="9" spans="1:11" ht="17.850000000000001" customHeight="1">
      <c r="A9" s="47" t="s">
        <v>43</v>
      </c>
      <c r="B9" s="6">
        <v>12</v>
      </c>
      <c r="C9" s="66">
        <v>38</v>
      </c>
      <c r="D9" s="67">
        <v>10</v>
      </c>
      <c r="E9" s="66">
        <v>0</v>
      </c>
      <c r="F9" s="67">
        <v>196</v>
      </c>
      <c r="G9" s="66">
        <v>20</v>
      </c>
      <c r="H9" s="67">
        <v>29</v>
      </c>
      <c r="I9" s="66">
        <v>0</v>
      </c>
      <c r="J9" s="67">
        <v>256</v>
      </c>
      <c r="K9" s="27"/>
    </row>
    <row r="10" spans="1:11" ht="17.850000000000001" customHeight="1">
      <c r="A10" s="47" t="s">
        <v>44</v>
      </c>
      <c r="B10" s="6">
        <v>18</v>
      </c>
      <c r="C10" s="66">
        <v>63</v>
      </c>
      <c r="D10" s="67">
        <v>27</v>
      </c>
      <c r="E10" s="66">
        <v>2</v>
      </c>
      <c r="F10" s="67">
        <v>194</v>
      </c>
      <c r="G10" s="66">
        <v>35</v>
      </c>
      <c r="H10" s="67">
        <v>34</v>
      </c>
      <c r="I10" s="66">
        <v>9</v>
      </c>
      <c r="J10" s="67">
        <v>168</v>
      </c>
      <c r="K10" s="27"/>
    </row>
    <row r="11" spans="1:11" ht="17.850000000000001" customHeight="1">
      <c r="A11" s="5" t="s">
        <v>45</v>
      </c>
      <c r="B11" s="6">
        <v>261</v>
      </c>
      <c r="C11" s="7">
        <v>1505</v>
      </c>
      <c r="D11" s="6">
        <v>160</v>
      </c>
      <c r="E11" s="7">
        <v>93</v>
      </c>
      <c r="F11" s="6">
        <v>1434</v>
      </c>
      <c r="G11" s="7">
        <v>281</v>
      </c>
      <c r="H11" s="6">
        <v>391</v>
      </c>
      <c r="I11" s="7">
        <v>80</v>
      </c>
      <c r="J11" s="6">
        <v>1554</v>
      </c>
      <c r="K11" s="27"/>
    </row>
    <row r="12" spans="1:11" ht="17.850000000000001" customHeight="1">
      <c r="A12" s="5" t="s">
        <v>46</v>
      </c>
      <c r="B12" s="6">
        <v>104</v>
      </c>
      <c r="C12" s="7">
        <v>234</v>
      </c>
      <c r="D12" s="6">
        <v>44</v>
      </c>
      <c r="E12" s="7">
        <v>17</v>
      </c>
      <c r="F12" s="6">
        <v>35</v>
      </c>
      <c r="G12" s="7">
        <v>404</v>
      </c>
      <c r="H12" s="6">
        <v>1536</v>
      </c>
      <c r="I12" s="7">
        <v>20</v>
      </c>
      <c r="J12" s="6">
        <v>915</v>
      </c>
      <c r="K12" s="27"/>
    </row>
    <row r="13" spans="1:11" ht="17.850000000000001" customHeight="1">
      <c r="A13" s="5" t="s">
        <v>47</v>
      </c>
      <c r="B13" s="6">
        <v>56</v>
      </c>
      <c r="C13" s="7">
        <v>1074</v>
      </c>
      <c r="D13" s="6">
        <v>764</v>
      </c>
      <c r="E13" s="7">
        <v>2</v>
      </c>
      <c r="F13" s="6">
        <v>543</v>
      </c>
      <c r="G13" s="7">
        <v>23</v>
      </c>
      <c r="H13" s="6">
        <v>53</v>
      </c>
      <c r="I13" s="7">
        <v>7</v>
      </c>
      <c r="J13" s="6">
        <v>594</v>
      </c>
      <c r="K13" s="27"/>
    </row>
    <row r="14" spans="1:11" ht="17.850000000000001" customHeight="1">
      <c r="A14" s="5" t="s">
        <v>48</v>
      </c>
      <c r="B14" s="6">
        <v>79</v>
      </c>
      <c r="C14" s="7">
        <v>438</v>
      </c>
      <c r="D14" s="6">
        <v>101</v>
      </c>
      <c r="E14" s="7">
        <v>1</v>
      </c>
      <c r="F14" s="6">
        <v>104</v>
      </c>
      <c r="G14" s="7">
        <v>14</v>
      </c>
      <c r="H14" s="6">
        <v>36</v>
      </c>
      <c r="I14" s="7">
        <v>8</v>
      </c>
      <c r="J14" s="6">
        <v>237</v>
      </c>
      <c r="K14" s="27"/>
    </row>
    <row r="15" spans="1:11" ht="17.850000000000001" customHeight="1">
      <c r="A15" s="5" t="s">
        <v>49</v>
      </c>
      <c r="B15" s="6">
        <v>6</v>
      </c>
      <c r="C15" s="7">
        <v>40</v>
      </c>
      <c r="D15" s="6">
        <v>2</v>
      </c>
      <c r="E15" s="7">
        <v>0</v>
      </c>
      <c r="F15" s="6">
        <v>644</v>
      </c>
      <c r="G15" s="7">
        <v>151</v>
      </c>
      <c r="H15" s="6">
        <v>179</v>
      </c>
      <c r="I15" s="7">
        <v>0</v>
      </c>
      <c r="J15" s="6">
        <v>182</v>
      </c>
      <c r="K15" s="27"/>
    </row>
    <row r="16" spans="1:11" ht="17.850000000000001" customHeight="1">
      <c r="A16" s="5" t="s">
        <v>50</v>
      </c>
      <c r="B16" s="6">
        <v>25</v>
      </c>
      <c r="C16" s="7">
        <v>132</v>
      </c>
      <c r="D16" s="6">
        <v>46</v>
      </c>
      <c r="E16" s="7">
        <v>2</v>
      </c>
      <c r="F16" s="6">
        <v>16</v>
      </c>
      <c r="G16" s="7">
        <v>4</v>
      </c>
      <c r="H16" s="6">
        <v>4</v>
      </c>
      <c r="I16" s="7">
        <v>1</v>
      </c>
      <c r="J16" s="6">
        <v>162</v>
      </c>
      <c r="K16" s="27"/>
    </row>
    <row r="17" spans="1:11" ht="17.850000000000001" customHeight="1">
      <c r="A17" s="5" t="s">
        <v>51</v>
      </c>
      <c r="B17" s="6">
        <v>289</v>
      </c>
      <c r="C17" s="7">
        <v>1467</v>
      </c>
      <c r="D17" s="6">
        <v>157</v>
      </c>
      <c r="E17" s="7">
        <v>33</v>
      </c>
      <c r="F17" s="6">
        <v>246</v>
      </c>
      <c r="G17" s="7">
        <v>61</v>
      </c>
      <c r="H17" s="6">
        <v>125</v>
      </c>
      <c r="I17" s="7">
        <v>59</v>
      </c>
      <c r="J17" s="6">
        <v>476</v>
      </c>
      <c r="K17" s="27"/>
    </row>
    <row r="18" spans="1:11" ht="17.850000000000001" customHeight="1">
      <c r="A18" s="5" t="s">
        <v>52</v>
      </c>
      <c r="B18" s="6">
        <v>0</v>
      </c>
      <c r="C18" s="7">
        <v>7</v>
      </c>
      <c r="D18" s="6">
        <v>0</v>
      </c>
      <c r="E18" s="7">
        <v>0</v>
      </c>
      <c r="F18" s="6">
        <v>8</v>
      </c>
      <c r="G18" s="7">
        <v>2</v>
      </c>
      <c r="H18" s="6">
        <v>0</v>
      </c>
      <c r="I18" s="7">
        <v>1</v>
      </c>
      <c r="J18" s="6">
        <v>5</v>
      </c>
      <c r="K18" s="27"/>
    </row>
    <row r="19" spans="1:11" ht="17.850000000000001" customHeight="1">
      <c r="A19" s="5" t="s">
        <v>53</v>
      </c>
      <c r="B19" s="6">
        <v>1467</v>
      </c>
      <c r="C19" s="7">
        <v>3422</v>
      </c>
      <c r="D19" s="6">
        <v>621</v>
      </c>
      <c r="E19" s="7">
        <v>259</v>
      </c>
      <c r="F19" s="6">
        <v>159</v>
      </c>
      <c r="G19" s="7">
        <v>1712</v>
      </c>
      <c r="H19" s="6">
        <v>3137</v>
      </c>
      <c r="I19" s="7">
        <v>194</v>
      </c>
      <c r="J19" s="6">
        <v>3460</v>
      </c>
      <c r="K19" s="27"/>
    </row>
    <row r="20" spans="1:11" ht="17.850000000000001" customHeight="1">
      <c r="A20" s="5" t="s">
        <v>54</v>
      </c>
      <c r="B20" s="6">
        <v>35</v>
      </c>
      <c r="C20" s="7">
        <v>162</v>
      </c>
      <c r="D20" s="6">
        <v>93</v>
      </c>
      <c r="E20" s="7">
        <v>3</v>
      </c>
      <c r="F20" s="6">
        <v>346</v>
      </c>
      <c r="G20" s="7">
        <v>33</v>
      </c>
      <c r="H20" s="6">
        <v>58</v>
      </c>
      <c r="I20" s="7">
        <v>5</v>
      </c>
      <c r="J20" s="6">
        <v>335</v>
      </c>
      <c r="K20" s="27"/>
    </row>
    <row r="21" spans="1:11" ht="17.850000000000001" customHeight="1">
      <c r="A21" s="5" t="s">
        <v>55</v>
      </c>
      <c r="B21" s="6">
        <v>5</v>
      </c>
      <c r="C21" s="7">
        <v>10</v>
      </c>
      <c r="D21" s="6">
        <v>27</v>
      </c>
      <c r="E21" s="7">
        <v>0</v>
      </c>
      <c r="F21" s="6">
        <v>73</v>
      </c>
      <c r="G21" s="7">
        <v>6</v>
      </c>
      <c r="H21" s="6">
        <v>4</v>
      </c>
      <c r="I21" s="7">
        <v>1</v>
      </c>
      <c r="J21" s="6">
        <v>63</v>
      </c>
      <c r="K21" s="27"/>
    </row>
    <row r="22" spans="1:11" ht="17.850000000000001" customHeight="1">
      <c r="A22" s="5" t="s">
        <v>56</v>
      </c>
      <c r="B22" s="6">
        <v>15537</v>
      </c>
      <c r="C22" s="7">
        <v>5133</v>
      </c>
      <c r="D22" s="6">
        <v>7170</v>
      </c>
      <c r="E22" s="7">
        <v>146</v>
      </c>
      <c r="F22" s="6">
        <v>339</v>
      </c>
      <c r="G22" s="7">
        <v>4459</v>
      </c>
      <c r="H22" s="6">
        <v>5603</v>
      </c>
      <c r="I22" s="7">
        <v>175</v>
      </c>
      <c r="J22" s="6">
        <v>13975</v>
      </c>
      <c r="K22" s="27"/>
    </row>
    <row r="23" spans="1:11" ht="17.850000000000001" customHeight="1">
      <c r="A23" s="5" t="s">
        <v>103</v>
      </c>
      <c r="B23" s="6">
        <v>8</v>
      </c>
      <c r="C23" s="7">
        <v>16</v>
      </c>
      <c r="D23" s="6">
        <v>7</v>
      </c>
      <c r="E23" s="7">
        <v>1</v>
      </c>
      <c r="F23" s="6">
        <v>120</v>
      </c>
      <c r="G23" s="7">
        <v>97</v>
      </c>
      <c r="H23" s="6">
        <v>40</v>
      </c>
      <c r="I23" s="7">
        <v>1</v>
      </c>
      <c r="J23" s="6">
        <v>156</v>
      </c>
      <c r="K23" s="27"/>
    </row>
    <row r="24" spans="1:11" ht="17.850000000000001" customHeight="1">
      <c r="A24" s="5" t="s">
        <v>104</v>
      </c>
      <c r="B24" s="6">
        <v>31</v>
      </c>
      <c r="C24" s="7">
        <v>254</v>
      </c>
      <c r="D24" s="6">
        <v>42</v>
      </c>
      <c r="E24" s="7">
        <v>15</v>
      </c>
      <c r="F24" s="6">
        <v>17</v>
      </c>
      <c r="G24" s="7">
        <v>10</v>
      </c>
      <c r="H24" s="6">
        <v>31</v>
      </c>
      <c r="I24" s="7">
        <v>15</v>
      </c>
      <c r="J24" s="6">
        <v>223</v>
      </c>
      <c r="K24" s="27"/>
    </row>
    <row r="25" spans="1:11" ht="17.850000000000001" customHeight="1">
      <c r="A25" s="5" t="s">
        <v>57</v>
      </c>
      <c r="B25" s="6">
        <v>0</v>
      </c>
      <c r="C25" s="7">
        <v>10</v>
      </c>
      <c r="D25" s="6">
        <v>3</v>
      </c>
      <c r="E25" s="7">
        <v>1</v>
      </c>
      <c r="F25" s="6">
        <v>171</v>
      </c>
      <c r="G25" s="7">
        <v>17</v>
      </c>
      <c r="H25" s="6">
        <v>45</v>
      </c>
      <c r="I25" s="7">
        <v>0</v>
      </c>
      <c r="J25" s="6">
        <v>108</v>
      </c>
      <c r="K25" s="27"/>
    </row>
    <row r="26" spans="1:11" ht="17.850000000000001" customHeight="1">
      <c r="A26" s="5" t="s">
        <v>58</v>
      </c>
      <c r="B26" s="6">
        <v>43</v>
      </c>
      <c r="C26" s="7">
        <v>50</v>
      </c>
      <c r="D26" s="6">
        <v>37</v>
      </c>
      <c r="E26" s="7">
        <v>2</v>
      </c>
      <c r="F26" s="6">
        <v>4</v>
      </c>
      <c r="G26" s="7">
        <v>3</v>
      </c>
      <c r="H26" s="6">
        <v>55</v>
      </c>
      <c r="I26" s="7">
        <v>3</v>
      </c>
      <c r="J26" s="6">
        <v>18</v>
      </c>
      <c r="K26" s="27"/>
    </row>
    <row r="27" spans="1:11" ht="17.850000000000001" customHeight="1">
      <c r="A27" s="5" t="s">
        <v>105</v>
      </c>
      <c r="B27" s="6">
        <v>0</v>
      </c>
      <c r="C27" s="7">
        <v>0</v>
      </c>
      <c r="D27" s="6">
        <v>0</v>
      </c>
      <c r="E27" s="7">
        <v>0</v>
      </c>
      <c r="F27" s="6">
        <v>3</v>
      </c>
      <c r="G27" s="7">
        <v>0</v>
      </c>
      <c r="H27" s="6">
        <v>1</v>
      </c>
      <c r="I27" s="7">
        <v>0</v>
      </c>
      <c r="J27" s="6">
        <v>1</v>
      </c>
      <c r="K27" s="27"/>
    </row>
    <row r="28" spans="1:11" ht="17.850000000000001" customHeight="1">
      <c r="A28" s="5" t="s">
        <v>59</v>
      </c>
      <c r="B28" s="6">
        <v>36</v>
      </c>
      <c r="C28" s="7">
        <v>34</v>
      </c>
      <c r="D28" s="6">
        <v>74</v>
      </c>
      <c r="E28" s="7">
        <v>0</v>
      </c>
      <c r="F28" s="6">
        <v>34</v>
      </c>
      <c r="G28" s="7">
        <v>28</v>
      </c>
      <c r="H28" s="6">
        <v>72</v>
      </c>
      <c r="I28" s="7">
        <v>1</v>
      </c>
      <c r="J28" s="6">
        <v>55</v>
      </c>
      <c r="K28" s="27"/>
    </row>
    <row r="29" spans="1:11" ht="17.25" customHeight="1">
      <c r="A29" s="51" t="s">
        <v>60</v>
      </c>
      <c r="B29" s="9">
        <v>18019</v>
      </c>
      <c r="C29" s="11">
        <v>14104</v>
      </c>
      <c r="D29" s="9">
        <v>9396</v>
      </c>
      <c r="E29" s="11">
        <v>579</v>
      </c>
      <c r="F29" s="9">
        <v>4701</v>
      </c>
      <c r="G29" s="11">
        <v>7361</v>
      </c>
      <c r="H29" s="9">
        <v>11433</v>
      </c>
      <c r="I29" s="11">
        <v>586</v>
      </c>
      <c r="J29" s="9">
        <v>23012</v>
      </c>
      <c r="K29" s="27"/>
    </row>
    <row r="30" spans="1:11" ht="13.5" customHeight="1">
      <c r="A30" s="4"/>
      <c r="B30" s="4"/>
      <c r="C30" s="4"/>
      <c r="D30" s="4"/>
      <c r="E30" s="4"/>
      <c r="F30" s="4"/>
      <c r="G30" s="4"/>
      <c r="H30" s="4"/>
      <c r="I30" s="4"/>
      <c r="J30" s="4"/>
      <c r="K30" s="27"/>
    </row>
    <row r="31" spans="1:11" ht="13.5" customHeight="1">
      <c r="A31" s="117" t="s">
        <v>147</v>
      </c>
    </row>
    <row r="32" spans="1:11" ht="13.5" customHeight="1">
      <c r="A32" s="117" t="s">
        <v>148</v>
      </c>
    </row>
    <row r="33" spans="1:1" ht="13.5" customHeight="1">
      <c r="A33" s="4"/>
    </row>
    <row r="34" spans="1:1" ht="13.5" customHeight="1">
      <c r="A34"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40"/>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14.7109375" customWidth="1"/>
    <col min="2" max="2" width="16.140625" bestFit="1" customWidth="1"/>
    <col min="3" max="3" width="15" customWidth="1"/>
    <col min="4" max="6" width="15.140625" customWidth="1"/>
    <col min="7" max="7" width="15" customWidth="1"/>
    <col min="8" max="10" width="15.140625" customWidth="1"/>
    <col min="11" max="11" width="15" customWidth="1"/>
    <col min="12" max="12" width="15.140625" customWidth="1"/>
    <col min="13" max="13" width="15" customWidth="1"/>
  </cols>
  <sheetData>
    <row r="1" spans="1:13" ht="20.25">
      <c r="A1" s="2" t="s">
        <v>214</v>
      </c>
      <c r="H1" s="111" t="s">
        <v>124</v>
      </c>
      <c r="I1" s="112"/>
    </row>
    <row r="3" spans="1:13" ht="18">
      <c r="A3" s="1" t="s">
        <v>106</v>
      </c>
      <c r="B3" s="28"/>
      <c r="C3" s="28"/>
      <c r="D3" s="28"/>
      <c r="E3" s="28"/>
      <c r="F3" s="28"/>
      <c r="G3" s="28"/>
      <c r="H3" s="28"/>
      <c r="I3" s="28"/>
      <c r="J3" s="28"/>
      <c r="K3" s="28"/>
      <c r="L3" s="28"/>
      <c r="M3" s="28"/>
    </row>
    <row r="4" spans="1:13" ht="12.2" customHeight="1">
      <c r="A4" s="1"/>
      <c r="B4" s="28"/>
      <c r="C4" s="28"/>
      <c r="D4" s="28"/>
      <c r="E4" s="28"/>
      <c r="F4" s="28"/>
      <c r="G4" s="28"/>
      <c r="H4" s="28"/>
      <c r="I4" s="28"/>
      <c r="J4" s="28"/>
      <c r="K4" s="28"/>
      <c r="L4" s="28"/>
      <c r="M4" s="28"/>
    </row>
    <row r="5" spans="1:13" ht="18.399999999999999" customHeight="1">
      <c r="A5" s="52" t="s">
        <v>208</v>
      </c>
      <c r="B5" s="53"/>
      <c r="C5" s="53"/>
      <c r="D5" s="53"/>
      <c r="E5" s="53"/>
      <c r="F5" s="53"/>
      <c r="G5" s="53"/>
      <c r="H5" s="53"/>
      <c r="I5" s="53"/>
      <c r="J5" s="53"/>
      <c r="K5" s="53"/>
      <c r="L5" s="53"/>
      <c r="M5" s="53"/>
    </row>
    <row r="6" spans="1:13" ht="39.4" customHeight="1">
      <c r="A6" s="32" t="s">
        <v>107</v>
      </c>
      <c r="B6" s="32" t="s">
        <v>108</v>
      </c>
      <c r="C6" s="62" t="s">
        <v>134</v>
      </c>
      <c r="D6" s="50" t="s">
        <v>129</v>
      </c>
      <c r="E6" s="63" t="s">
        <v>130</v>
      </c>
      <c r="F6" s="33" t="s">
        <v>39</v>
      </c>
      <c r="G6" s="62" t="s">
        <v>14</v>
      </c>
      <c r="H6" s="50" t="s">
        <v>40</v>
      </c>
      <c r="I6" s="63" t="s">
        <v>15</v>
      </c>
      <c r="J6" s="33" t="s">
        <v>135</v>
      </c>
      <c r="K6" s="62" t="s">
        <v>16</v>
      </c>
      <c r="L6" s="33" t="s">
        <v>20</v>
      </c>
      <c r="M6" s="62" t="s">
        <v>30</v>
      </c>
    </row>
    <row r="7" spans="1:13" ht="17.850000000000001" customHeight="1">
      <c r="A7" s="19" t="s">
        <v>61</v>
      </c>
      <c r="B7" s="19" t="s">
        <v>111</v>
      </c>
      <c r="C7" s="20">
        <v>5</v>
      </c>
      <c r="D7" s="21">
        <v>1218</v>
      </c>
      <c r="E7" s="20">
        <v>2038</v>
      </c>
      <c r="F7" s="21">
        <v>1650</v>
      </c>
      <c r="G7" s="20">
        <v>5</v>
      </c>
      <c r="H7" s="21">
        <v>104</v>
      </c>
      <c r="I7" s="20">
        <v>92</v>
      </c>
      <c r="J7" s="21">
        <v>1516</v>
      </c>
      <c r="K7" s="20">
        <v>64</v>
      </c>
      <c r="L7" s="21">
        <v>8</v>
      </c>
      <c r="M7" s="20">
        <v>624</v>
      </c>
    </row>
    <row r="8" spans="1:13" ht="17.850000000000001" customHeight="1">
      <c r="A8" s="5"/>
      <c r="B8" s="5" t="s">
        <v>112</v>
      </c>
      <c r="C8" s="6">
        <v>7</v>
      </c>
      <c r="D8" s="7">
        <v>1481</v>
      </c>
      <c r="E8" s="6">
        <v>2355</v>
      </c>
      <c r="F8" s="7">
        <v>160</v>
      </c>
      <c r="G8" s="6">
        <v>10</v>
      </c>
      <c r="H8" s="7">
        <v>165</v>
      </c>
      <c r="I8" s="6">
        <v>118</v>
      </c>
      <c r="J8" s="7">
        <v>2101</v>
      </c>
      <c r="K8" s="6">
        <v>81</v>
      </c>
      <c r="L8" s="7">
        <v>165</v>
      </c>
      <c r="M8" s="6">
        <v>571</v>
      </c>
    </row>
    <row r="9" spans="1:13" ht="17.850000000000001" customHeight="1">
      <c r="A9" s="5"/>
      <c r="B9" s="5" t="s">
        <v>64</v>
      </c>
      <c r="C9" s="6">
        <v>7</v>
      </c>
      <c r="D9" s="7">
        <v>1107</v>
      </c>
      <c r="E9" s="6">
        <v>1625</v>
      </c>
      <c r="F9" s="7">
        <v>71</v>
      </c>
      <c r="G9" s="6">
        <v>12</v>
      </c>
      <c r="H9" s="7">
        <v>86</v>
      </c>
      <c r="I9" s="6">
        <v>31</v>
      </c>
      <c r="J9" s="7">
        <v>1728</v>
      </c>
      <c r="K9" s="6">
        <v>51</v>
      </c>
      <c r="L9" s="7">
        <v>199</v>
      </c>
      <c r="M9" s="6">
        <v>543</v>
      </c>
    </row>
    <row r="10" spans="1:13" ht="17.850000000000001" customHeight="1">
      <c r="A10" s="5"/>
      <c r="B10" s="5" t="s">
        <v>68</v>
      </c>
      <c r="C10" s="6">
        <v>11</v>
      </c>
      <c r="D10" s="7">
        <v>2433</v>
      </c>
      <c r="E10" s="6">
        <v>3566</v>
      </c>
      <c r="F10" s="7">
        <v>85</v>
      </c>
      <c r="G10" s="6">
        <v>7</v>
      </c>
      <c r="H10" s="7">
        <v>126</v>
      </c>
      <c r="I10" s="6">
        <v>62</v>
      </c>
      <c r="J10" s="7">
        <v>4012</v>
      </c>
      <c r="K10" s="6">
        <v>137</v>
      </c>
      <c r="L10" s="7">
        <v>464</v>
      </c>
      <c r="M10" s="6">
        <v>1672</v>
      </c>
    </row>
    <row r="11" spans="1:13" ht="17.850000000000001" customHeight="1">
      <c r="A11" s="5"/>
      <c r="B11" s="5" t="s">
        <v>59</v>
      </c>
      <c r="C11" s="6">
        <v>0</v>
      </c>
      <c r="D11" s="7">
        <v>71</v>
      </c>
      <c r="E11" s="6">
        <v>128</v>
      </c>
      <c r="F11" s="7">
        <v>26</v>
      </c>
      <c r="G11" s="6">
        <v>2</v>
      </c>
      <c r="H11" s="7">
        <v>4</v>
      </c>
      <c r="I11" s="6">
        <v>1</v>
      </c>
      <c r="J11" s="7">
        <v>60</v>
      </c>
      <c r="K11" s="6">
        <v>7</v>
      </c>
      <c r="L11" s="7">
        <v>14</v>
      </c>
      <c r="M11" s="6">
        <v>28</v>
      </c>
    </row>
    <row r="12" spans="1:13" ht="17.850000000000001" customHeight="1">
      <c r="A12" s="3"/>
      <c r="B12" s="31" t="s">
        <v>60</v>
      </c>
      <c r="C12" s="15">
        <v>30</v>
      </c>
      <c r="D12" s="16">
        <v>6310</v>
      </c>
      <c r="E12" s="15">
        <v>9712</v>
      </c>
      <c r="F12" s="16">
        <v>1992</v>
      </c>
      <c r="G12" s="15">
        <v>36</v>
      </c>
      <c r="H12" s="16">
        <v>485</v>
      </c>
      <c r="I12" s="15">
        <v>304</v>
      </c>
      <c r="J12" s="16">
        <v>9417</v>
      </c>
      <c r="K12" s="15">
        <v>340</v>
      </c>
      <c r="L12" s="16">
        <v>850</v>
      </c>
      <c r="M12" s="15">
        <v>3438</v>
      </c>
    </row>
    <row r="13" spans="1:13" ht="17.850000000000001" customHeight="1">
      <c r="A13" s="5" t="s">
        <v>66</v>
      </c>
      <c r="B13" s="19" t="s">
        <v>111</v>
      </c>
      <c r="C13" s="6">
        <v>0</v>
      </c>
      <c r="D13" s="7">
        <v>1550</v>
      </c>
      <c r="E13" s="6">
        <v>1592</v>
      </c>
      <c r="F13" s="7">
        <v>4978</v>
      </c>
      <c r="G13" s="6">
        <v>14</v>
      </c>
      <c r="H13" s="7">
        <v>28</v>
      </c>
      <c r="I13" s="6">
        <v>15</v>
      </c>
      <c r="J13" s="7">
        <v>2220</v>
      </c>
      <c r="K13" s="6">
        <v>78</v>
      </c>
      <c r="L13" s="7" t="s">
        <v>215</v>
      </c>
      <c r="M13" s="6">
        <v>898</v>
      </c>
    </row>
    <row r="14" spans="1:13" ht="17.850000000000001" customHeight="1">
      <c r="A14" s="5"/>
      <c r="B14" s="5" t="s">
        <v>112</v>
      </c>
      <c r="C14" s="6">
        <v>0</v>
      </c>
      <c r="D14" s="7">
        <v>4075</v>
      </c>
      <c r="E14" s="6">
        <v>1379</v>
      </c>
      <c r="F14" s="7">
        <v>1291</v>
      </c>
      <c r="G14" s="6">
        <v>26</v>
      </c>
      <c r="H14" s="7">
        <v>35</v>
      </c>
      <c r="I14" s="6">
        <v>14</v>
      </c>
      <c r="J14" s="7">
        <v>4551</v>
      </c>
      <c r="K14" s="6">
        <v>119</v>
      </c>
      <c r="L14" s="7">
        <v>121</v>
      </c>
      <c r="M14" s="6">
        <v>3249</v>
      </c>
    </row>
    <row r="15" spans="1:13" ht="17.850000000000001" customHeight="1">
      <c r="A15" s="5"/>
      <c r="B15" s="5" t="s">
        <v>64</v>
      </c>
      <c r="C15" s="6">
        <v>0</v>
      </c>
      <c r="D15" s="7">
        <v>3296</v>
      </c>
      <c r="E15" s="6">
        <v>900</v>
      </c>
      <c r="F15" s="7">
        <v>548</v>
      </c>
      <c r="G15" s="6">
        <v>11</v>
      </c>
      <c r="H15" s="7">
        <v>33</v>
      </c>
      <c r="I15" s="6">
        <v>11</v>
      </c>
      <c r="J15" s="7">
        <v>3600</v>
      </c>
      <c r="K15" s="6">
        <v>93</v>
      </c>
      <c r="L15" s="7">
        <v>191</v>
      </c>
      <c r="M15" s="6">
        <v>3236</v>
      </c>
    </row>
    <row r="16" spans="1:13" ht="17.850000000000001" customHeight="1">
      <c r="A16" s="5"/>
      <c r="B16" s="5" t="s">
        <v>68</v>
      </c>
      <c r="C16" s="6">
        <v>7</v>
      </c>
      <c r="D16" s="7">
        <v>4232</v>
      </c>
      <c r="E16" s="6">
        <v>1807</v>
      </c>
      <c r="F16" s="7">
        <v>670</v>
      </c>
      <c r="G16" s="6">
        <v>13</v>
      </c>
      <c r="H16" s="7">
        <v>48</v>
      </c>
      <c r="I16" s="6">
        <v>17</v>
      </c>
      <c r="J16" s="7">
        <v>5689</v>
      </c>
      <c r="K16" s="6">
        <v>166</v>
      </c>
      <c r="L16" s="7">
        <v>314</v>
      </c>
      <c r="M16" s="6">
        <v>4321</v>
      </c>
    </row>
    <row r="17" spans="1:13" ht="17.850000000000001" customHeight="1">
      <c r="A17" s="5"/>
      <c r="B17" s="5" t="s">
        <v>59</v>
      </c>
      <c r="C17" s="6">
        <v>0</v>
      </c>
      <c r="D17" s="7">
        <v>76</v>
      </c>
      <c r="E17" s="6">
        <v>86</v>
      </c>
      <c r="F17" s="7">
        <v>75</v>
      </c>
      <c r="G17" s="6">
        <v>1</v>
      </c>
      <c r="H17" s="7" t="s">
        <v>215</v>
      </c>
      <c r="I17" s="6" t="s">
        <v>215</v>
      </c>
      <c r="J17" s="7">
        <v>95</v>
      </c>
      <c r="K17" s="6">
        <v>10</v>
      </c>
      <c r="L17" s="7">
        <v>8</v>
      </c>
      <c r="M17" s="6">
        <v>43</v>
      </c>
    </row>
    <row r="18" spans="1:13" ht="17.850000000000001" customHeight="1">
      <c r="A18" s="5"/>
      <c r="B18" s="31" t="s">
        <v>60</v>
      </c>
      <c r="C18" s="15">
        <v>7</v>
      </c>
      <c r="D18" s="16">
        <v>13229</v>
      </c>
      <c r="E18" s="15">
        <v>5764</v>
      </c>
      <c r="F18" s="16">
        <v>7562</v>
      </c>
      <c r="G18" s="15">
        <v>65</v>
      </c>
      <c r="H18" s="16">
        <v>144</v>
      </c>
      <c r="I18" s="15">
        <v>57</v>
      </c>
      <c r="J18" s="16">
        <v>16155</v>
      </c>
      <c r="K18" s="15">
        <v>466</v>
      </c>
      <c r="L18" s="16" t="s">
        <v>216</v>
      </c>
      <c r="M18" s="15">
        <v>11747</v>
      </c>
    </row>
    <row r="19" spans="1:13" ht="17.850000000000001" customHeight="1">
      <c r="A19" s="19" t="s">
        <v>59</v>
      </c>
      <c r="B19" s="19" t="s">
        <v>111</v>
      </c>
      <c r="C19" s="20">
        <v>0</v>
      </c>
      <c r="D19" s="21">
        <v>2</v>
      </c>
      <c r="E19" s="20">
        <v>14</v>
      </c>
      <c r="F19" s="21">
        <v>15</v>
      </c>
      <c r="G19" s="20" t="s">
        <v>215</v>
      </c>
      <c r="H19" s="21" t="s">
        <v>215</v>
      </c>
      <c r="I19" s="20" t="s">
        <v>215</v>
      </c>
      <c r="J19" s="21">
        <v>4</v>
      </c>
      <c r="K19" s="20">
        <v>1</v>
      </c>
      <c r="L19" s="21" t="s">
        <v>215</v>
      </c>
      <c r="M19" s="20">
        <v>2</v>
      </c>
    </row>
    <row r="20" spans="1:13" ht="17.850000000000001" customHeight="1">
      <c r="A20" s="5"/>
      <c r="B20" s="5" t="s">
        <v>112</v>
      </c>
      <c r="C20" s="6">
        <v>0</v>
      </c>
      <c r="D20" s="7">
        <v>18</v>
      </c>
      <c r="E20" s="6">
        <v>6</v>
      </c>
      <c r="F20" s="7">
        <v>5</v>
      </c>
      <c r="G20" s="6" t="s">
        <v>215</v>
      </c>
      <c r="H20" s="7" t="s">
        <v>215</v>
      </c>
      <c r="I20" s="6">
        <v>1</v>
      </c>
      <c r="J20" s="7">
        <v>19</v>
      </c>
      <c r="K20" s="6" t="s">
        <v>215</v>
      </c>
      <c r="L20" s="7">
        <v>1</v>
      </c>
      <c r="M20" s="6">
        <v>4</v>
      </c>
    </row>
    <row r="21" spans="1:13" ht="17.850000000000001" customHeight="1">
      <c r="A21" s="5"/>
      <c r="B21" s="5" t="s">
        <v>64</v>
      </c>
      <c r="C21" s="6">
        <v>0</v>
      </c>
      <c r="D21" s="7">
        <v>3</v>
      </c>
      <c r="E21" s="6">
        <v>5</v>
      </c>
      <c r="F21" s="7">
        <v>1</v>
      </c>
      <c r="G21" s="6" t="s">
        <v>215</v>
      </c>
      <c r="H21" s="7" t="s">
        <v>215</v>
      </c>
      <c r="I21" s="6" t="s">
        <v>215</v>
      </c>
      <c r="J21" s="7">
        <v>8</v>
      </c>
      <c r="K21" s="6">
        <v>1</v>
      </c>
      <c r="L21" s="7">
        <v>3</v>
      </c>
      <c r="M21" s="6" t="s">
        <v>215</v>
      </c>
    </row>
    <row r="22" spans="1:13" ht="17.850000000000001" customHeight="1">
      <c r="A22" s="5"/>
      <c r="B22" s="5" t="s">
        <v>68</v>
      </c>
      <c r="C22" s="6">
        <v>0</v>
      </c>
      <c r="D22" s="7">
        <v>6</v>
      </c>
      <c r="E22" s="6">
        <v>19</v>
      </c>
      <c r="F22" s="7">
        <v>2</v>
      </c>
      <c r="G22" s="6" t="s">
        <v>215</v>
      </c>
      <c r="H22" s="7">
        <v>1</v>
      </c>
      <c r="I22" s="6" t="s">
        <v>215</v>
      </c>
      <c r="J22" s="7">
        <v>25</v>
      </c>
      <c r="K22" s="6" t="s">
        <v>215</v>
      </c>
      <c r="L22" s="7">
        <v>3</v>
      </c>
      <c r="M22" s="6">
        <v>2</v>
      </c>
    </row>
    <row r="23" spans="1:13" ht="17.850000000000001" customHeight="1">
      <c r="A23" s="5"/>
      <c r="B23" s="5" t="s">
        <v>59</v>
      </c>
      <c r="C23" s="6">
        <v>0</v>
      </c>
      <c r="D23" s="7">
        <v>2</v>
      </c>
      <c r="E23" s="6">
        <v>20</v>
      </c>
      <c r="F23" s="7">
        <v>11</v>
      </c>
      <c r="G23" s="6" t="s">
        <v>215</v>
      </c>
      <c r="H23" s="7">
        <v>64</v>
      </c>
      <c r="I23" s="6">
        <v>1</v>
      </c>
      <c r="J23" s="7">
        <v>104</v>
      </c>
      <c r="K23" s="6">
        <v>19</v>
      </c>
      <c r="L23" s="7">
        <v>1251</v>
      </c>
      <c r="M23" s="6" t="s">
        <v>215</v>
      </c>
    </row>
    <row r="24" spans="1:13" ht="17.850000000000001" customHeight="1">
      <c r="A24" s="3"/>
      <c r="B24" s="31" t="s">
        <v>60</v>
      </c>
      <c r="C24" s="15">
        <v>0</v>
      </c>
      <c r="D24" s="16">
        <v>31</v>
      </c>
      <c r="E24" s="15">
        <v>64</v>
      </c>
      <c r="F24" s="16">
        <v>34</v>
      </c>
      <c r="G24" s="15" t="s">
        <v>216</v>
      </c>
      <c r="H24" s="16">
        <v>65</v>
      </c>
      <c r="I24" s="15">
        <v>2</v>
      </c>
      <c r="J24" s="16">
        <v>160</v>
      </c>
      <c r="K24" s="15">
        <v>21</v>
      </c>
      <c r="L24" s="16">
        <v>1258</v>
      </c>
      <c r="M24" s="15">
        <v>8</v>
      </c>
    </row>
    <row r="25" spans="1:13" ht="17.850000000000001" customHeight="1">
      <c r="A25" s="30" t="s">
        <v>60</v>
      </c>
      <c r="B25" s="19" t="s">
        <v>111</v>
      </c>
      <c r="C25" s="20">
        <v>5</v>
      </c>
      <c r="D25" s="21">
        <v>2770</v>
      </c>
      <c r="E25" s="20">
        <v>3644</v>
      </c>
      <c r="F25" s="21">
        <v>6643</v>
      </c>
      <c r="G25" s="20">
        <v>19</v>
      </c>
      <c r="H25" s="21">
        <v>132</v>
      </c>
      <c r="I25" s="20">
        <v>107</v>
      </c>
      <c r="J25" s="21">
        <v>3740</v>
      </c>
      <c r="K25" s="20">
        <v>143</v>
      </c>
      <c r="L25" s="21" t="s">
        <v>216</v>
      </c>
      <c r="M25" s="20">
        <v>1524</v>
      </c>
    </row>
    <row r="26" spans="1:13" ht="17.850000000000001" customHeight="1">
      <c r="A26" s="5"/>
      <c r="B26" s="5" t="s">
        <v>112</v>
      </c>
      <c r="C26" s="6">
        <v>7</v>
      </c>
      <c r="D26" s="7">
        <v>5574</v>
      </c>
      <c r="E26" s="6">
        <v>3740</v>
      </c>
      <c r="F26" s="7">
        <v>1456</v>
      </c>
      <c r="G26" s="6">
        <v>36</v>
      </c>
      <c r="H26" s="7">
        <v>200</v>
      </c>
      <c r="I26" s="6">
        <v>133</v>
      </c>
      <c r="J26" s="7">
        <v>6671</v>
      </c>
      <c r="K26" s="6">
        <v>200</v>
      </c>
      <c r="L26" s="7">
        <v>287</v>
      </c>
      <c r="M26" s="6">
        <v>3824</v>
      </c>
    </row>
    <row r="27" spans="1:13" ht="17.850000000000001" customHeight="1">
      <c r="A27" s="5"/>
      <c r="B27" s="5" t="s">
        <v>64</v>
      </c>
      <c r="C27" s="6">
        <v>7</v>
      </c>
      <c r="D27" s="7">
        <v>4406</v>
      </c>
      <c r="E27" s="6">
        <v>2530</v>
      </c>
      <c r="F27" s="7">
        <v>620</v>
      </c>
      <c r="G27" s="6">
        <v>23</v>
      </c>
      <c r="H27" s="7">
        <v>119</v>
      </c>
      <c r="I27" s="6">
        <v>42</v>
      </c>
      <c r="J27" s="7">
        <v>5336</v>
      </c>
      <c r="K27" s="6">
        <v>145</v>
      </c>
      <c r="L27" s="7">
        <v>393</v>
      </c>
      <c r="M27" s="6">
        <v>3779</v>
      </c>
    </row>
    <row r="28" spans="1:13" ht="17.850000000000001" customHeight="1">
      <c r="A28" s="5"/>
      <c r="B28" s="5" t="s">
        <v>68</v>
      </c>
      <c r="C28" s="6">
        <v>18</v>
      </c>
      <c r="D28" s="7">
        <v>6671</v>
      </c>
      <c r="E28" s="6">
        <v>5392</v>
      </c>
      <c r="F28" s="7">
        <v>757</v>
      </c>
      <c r="G28" s="6">
        <v>20</v>
      </c>
      <c r="H28" s="7">
        <v>175</v>
      </c>
      <c r="I28" s="6">
        <v>79</v>
      </c>
      <c r="J28" s="7">
        <v>9726</v>
      </c>
      <c r="K28" s="6">
        <v>303</v>
      </c>
      <c r="L28" s="7">
        <v>781</v>
      </c>
      <c r="M28" s="6">
        <v>5995</v>
      </c>
    </row>
    <row r="29" spans="1:13" ht="17.850000000000001" customHeight="1">
      <c r="A29" s="5"/>
      <c r="B29" s="5" t="s">
        <v>59</v>
      </c>
      <c r="C29" s="6">
        <v>0</v>
      </c>
      <c r="D29" s="7">
        <v>149</v>
      </c>
      <c r="E29" s="6">
        <v>234</v>
      </c>
      <c r="F29" s="7">
        <v>112</v>
      </c>
      <c r="G29" s="6">
        <v>3</v>
      </c>
      <c r="H29" s="7">
        <v>68</v>
      </c>
      <c r="I29" s="6">
        <v>2</v>
      </c>
      <c r="J29" s="7">
        <v>259</v>
      </c>
      <c r="K29" s="6">
        <v>36</v>
      </c>
      <c r="L29" s="7">
        <v>1273</v>
      </c>
      <c r="M29" s="6">
        <v>71</v>
      </c>
    </row>
    <row r="30" spans="1:13" ht="17.850000000000001" customHeight="1">
      <c r="A30" s="3"/>
      <c r="B30" s="31" t="s">
        <v>60</v>
      </c>
      <c r="C30" s="15">
        <v>37</v>
      </c>
      <c r="D30" s="16">
        <v>19570</v>
      </c>
      <c r="E30" s="15">
        <v>15540</v>
      </c>
      <c r="F30" s="16">
        <v>9588</v>
      </c>
      <c r="G30" s="15">
        <v>101</v>
      </c>
      <c r="H30" s="16">
        <v>694</v>
      </c>
      <c r="I30" s="15">
        <v>363</v>
      </c>
      <c r="J30" s="16">
        <v>25732</v>
      </c>
      <c r="K30" s="15">
        <v>827</v>
      </c>
      <c r="L30" s="16" t="s">
        <v>216</v>
      </c>
      <c r="M30" s="15">
        <v>15193</v>
      </c>
    </row>
    <row r="31" spans="1:13">
      <c r="A31" s="5"/>
      <c r="B31" s="34"/>
      <c r="C31" s="29"/>
      <c r="D31" s="29"/>
      <c r="E31" s="29"/>
      <c r="F31" s="29"/>
      <c r="G31" s="29"/>
      <c r="H31" s="29"/>
      <c r="I31" s="29"/>
      <c r="J31" s="29"/>
      <c r="K31" s="29"/>
      <c r="L31" s="29"/>
      <c r="M31" s="29"/>
    </row>
    <row r="32" spans="1:13">
      <c r="A32" s="69" t="s">
        <v>101</v>
      </c>
      <c r="B32" s="4"/>
      <c r="C32" s="4"/>
      <c r="D32" s="4"/>
      <c r="E32" s="4"/>
      <c r="F32" s="4"/>
      <c r="G32" s="4"/>
      <c r="H32" s="4"/>
      <c r="I32" s="4"/>
      <c r="J32" s="4"/>
      <c r="K32" s="4"/>
      <c r="L32" s="4"/>
      <c r="M32" s="4"/>
    </row>
    <row r="33" spans="1:1">
      <c r="A33" s="70"/>
    </row>
    <row r="34" spans="1:1">
      <c r="A34" s="69" t="s">
        <v>116</v>
      </c>
    </row>
    <row r="35" spans="1:1">
      <c r="A35" s="69" t="s">
        <v>113</v>
      </c>
    </row>
    <row r="37" spans="1:1">
      <c r="A37" s="26" t="s">
        <v>38</v>
      </c>
    </row>
    <row r="38" spans="1:1">
      <c r="A38" s="26" t="s">
        <v>37</v>
      </c>
    </row>
    <row r="39" spans="1:1">
      <c r="A39" s="4"/>
    </row>
    <row r="40" spans="1:1">
      <c r="A40"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B9DB8AB0-401F-4E38-BB2A-E66BF2E16E14}"/>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I4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23.42578125" customWidth="1"/>
    <col min="2" max="2" width="21" customWidth="1"/>
    <col min="3" max="11" width="14.28515625" customWidth="1"/>
    <col min="12" max="35" width="14.42578125" customWidth="1"/>
  </cols>
  <sheetData>
    <row r="1" spans="1:35" ht="20.25">
      <c r="A1" s="2" t="s">
        <v>217</v>
      </c>
      <c r="G1" s="111" t="s">
        <v>124</v>
      </c>
    </row>
    <row r="2" spans="1:35" ht="10.15" customHeight="1"/>
    <row r="3" spans="1:35" ht="20.45" customHeight="1">
      <c r="A3" s="1" t="s">
        <v>121</v>
      </c>
      <c r="B3" s="4"/>
      <c r="C3" s="4"/>
      <c r="D3" s="4"/>
      <c r="E3" s="4"/>
      <c r="F3" s="4"/>
      <c r="G3" s="4"/>
      <c r="H3" s="4"/>
      <c r="I3" s="4"/>
      <c r="J3" s="4"/>
      <c r="K3" s="4"/>
      <c r="L3" s="4"/>
    </row>
    <row r="4" spans="1:35" ht="9.75" customHeight="1">
      <c r="A4" s="1"/>
      <c r="B4" s="4"/>
      <c r="C4" s="4"/>
      <c r="D4" s="4"/>
      <c r="E4" s="4"/>
      <c r="F4" s="4"/>
      <c r="G4" s="4"/>
      <c r="H4" s="4"/>
      <c r="I4" s="4"/>
      <c r="J4" s="4"/>
      <c r="K4" s="4"/>
      <c r="L4" s="4"/>
    </row>
    <row r="5" spans="1:35" ht="20.45" customHeight="1">
      <c r="A5" s="1" t="s">
        <v>208</v>
      </c>
      <c r="B5" s="4"/>
      <c r="C5" s="4"/>
      <c r="D5" s="4"/>
      <c r="E5" s="4"/>
      <c r="F5" s="4"/>
      <c r="G5" s="4"/>
      <c r="H5" s="4"/>
      <c r="I5" s="4"/>
      <c r="J5" s="4"/>
      <c r="K5" s="4"/>
      <c r="L5" s="4"/>
    </row>
    <row r="6" spans="1:35" ht="51">
      <c r="A6" s="74" t="s">
        <v>119</v>
      </c>
      <c r="B6" s="74" t="s">
        <v>120</v>
      </c>
      <c r="C6" s="62" t="s">
        <v>134</v>
      </c>
      <c r="D6" s="50" t="s">
        <v>129</v>
      </c>
      <c r="E6" s="62" t="s">
        <v>130</v>
      </c>
      <c r="F6" s="38" t="s">
        <v>13</v>
      </c>
      <c r="G6" s="62" t="s">
        <v>39</v>
      </c>
      <c r="H6" s="38" t="s">
        <v>14</v>
      </c>
      <c r="I6" s="62" t="s">
        <v>40</v>
      </c>
      <c r="J6" s="38" t="s">
        <v>15</v>
      </c>
      <c r="K6" s="62" t="s">
        <v>195</v>
      </c>
      <c r="L6" s="38" t="s">
        <v>135</v>
      </c>
      <c r="M6" s="62" t="s">
        <v>16</v>
      </c>
      <c r="N6" s="50" t="s">
        <v>4</v>
      </c>
      <c r="O6" s="62" t="s">
        <v>5</v>
      </c>
      <c r="P6" s="38" t="s">
        <v>17</v>
      </c>
      <c r="Q6" s="62" t="s">
        <v>6</v>
      </c>
      <c r="R6" s="38" t="s">
        <v>7</v>
      </c>
      <c r="S6" s="62" t="s">
        <v>8</v>
      </c>
      <c r="T6" s="38" t="s">
        <v>9</v>
      </c>
      <c r="U6" s="62" t="s">
        <v>10</v>
      </c>
      <c r="V6" s="38" t="s">
        <v>18</v>
      </c>
      <c r="W6" s="62" t="s">
        <v>11</v>
      </c>
      <c r="X6" s="38" t="s">
        <v>19</v>
      </c>
      <c r="Y6" s="62" t="s">
        <v>20</v>
      </c>
      <c r="Z6" s="38" t="s">
        <v>12</v>
      </c>
      <c r="AA6" s="62" t="s">
        <v>21</v>
      </c>
      <c r="AB6" s="38" t="s">
        <v>22</v>
      </c>
      <c r="AC6" s="62" t="s">
        <v>23</v>
      </c>
      <c r="AD6" s="38" t="s">
        <v>26</v>
      </c>
      <c r="AE6" s="62" t="s">
        <v>27</v>
      </c>
      <c r="AF6" s="38" t="s">
        <v>28</v>
      </c>
      <c r="AG6" s="62" t="s">
        <v>29</v>
      </c>
      <c r="AH6" s="38" t="s">
        <v>31</v>
      </c>
      <c r="AI6" s="62" t="s">
        <v>32</v>
      </c>
    </row>
    <row r="7" spans="1:35" ht="17.850000000000001" customHeight="1">
      <c r="A7" s="5" t="s">
        <v>61</v>
      </c>
      <c r="B7" s="5" t="s">
        <v>67</v>
      </c>
      <c r="C7" s="6">
        <v>1</v>
      </c>
      <c r="D7" s="7">
        <v>379</v>
      </c>
      <c r="E7" s="6">
        <v>641</v>
      </c>
      <c r="F7" s="7">
        <v>36</v>
      </c>
      <c r="G7" s="6">
        <v>116</v>
      </c>
      <c r="H7" s="7">
        <v>5</v>
      </c>
      <c r="I7" s="6">
        <v>90</v>
      </c>
      <c r="J7" s="7">
        <v>2</v>
      </c>
      <c r="K7" s="6">
        <v>0</v>
      </c>
      <c r="L7" s="7">
        <v>633</v>
      </c>
      <c r="M7" s="6">
        <v>13</v>
      </c>
      <c r="N7" s="7">
        <v>642</v>
      </c>
      <c r="O7" s="6">
        <v>391</v>
      </c>
      <c r="P7" s="7">
        <v>120</v>
      </c>
      <c r="Q7" s="6">
        <v>542</v>
      </c>
      <c r="R7" s="7">
        <v>136</v>
      </c>
      <c r="S7" s="6">
        <v>399</v>
      </c>
      <c r="T7" s="7">
        <v>54</v>
      </c>
      <c r="U7" s="6">
        <v>20</v>
      </c>
      <c r="V7" s="7">
        <v>0</v>
      </c>
      <c r="W7" s="6">
        <v>150</v>
      </c>
      <c r="X7" s="7">
        <v>104</v>
      </c>
      <c r="Y7" s="6">
        <v>47</v>
      </c>
      <c r="Z7" s="7">
        <v>596</v>
      </c>
      <c r="AA7" s="6">
        <v>265</v>
      </c>
      <c r="AB7" s="7">
        <v>211</v>
      </c>
      <c r="AC7" s="6">
        <v>547</v>
      </c>
      <c r="AD7" s="7">
        <v>0</v>
      </c>
      <c r="AE7" s="6">
        <v>35</v>
      </c>
      <c r="AF7" s="7">
        <v>16</v>
      </c>
      <c r="AG7" s="6">
        <v>819</v>
      </c>
      <c r="AH7" s="7">
        <v>851</v>
      </c>
      <c r="AI7" s="6">
        <v>238</v>
      </c>
    </row>
    <row r="8" spans="1:35" ht="17.850000000000001" customHeight="1">
      <c r="A8" s="4"/>
      <c r="B8" s="5" t="s">
        <v>62</v>
      </c>
      <c r="C8" s="6">
        <v>1</v>
      </c>
      <c r="D8" s="7">
        <v>193</v>
      </c>
      <c r="E8" s="6">
        <v>144</v>
      </c>
      <c r="F8" s="7">
        <v>20</v>
      </c>
      <c r="G8" s="6">
        <v>60</v>
      </c>
      <c r="H8" s="7">
        <v>2</v>
      </c>
      <c r="I8" s="6">
        <v>16</v>
      </c>
      <c r="J8" s="7">
        <v>1</v>
      </c>
      <c r="K8" s="6">
        <v>0</v>
      </c>
      <c r="L8" s="7">
        <v>319</v>
      </c>
      <c r="M8" s="6">
        <v>7</v>
      </c>
      <c r="N8" s="7">
        <v>104</v>
      </c>
      <c r="O8" s="6">
        <v>58</v>
      </c>
      <c r="P8" s="7">
        <v>37</v>
      </c>
      <c r="Q8" s="6">
        <v>93</v>
      </c>
      <c r="R8" s="7">
        <v>19</v>
      </c>
      <c r="S8" s="6">
        <v>106</v>
      </c>
      <c r="T8" s="7">
        <v>6</v>
      </c>
      <c r="U8" s="6">
        <v>4</v>
      </c>
      <c r="V8" s="7">
        <v>0</v>
      </c>
      <c r="W8" s="6">
        <v>40</v>
      </c>
      <c r="X8" s="7">
        <v>20</v>
      </c>
      <c r="Y8" s="6">
        <v>7</v>
      </c>
      <c r="Z8" s="7">
        <v>142</v>
      </c>
      <c r="AA8" s="6">
        <v>232</v>
      </c>
      <c r="AB8" s="7">
        <v>94</v>
      </c>
      <c r="AC8" s="6">
        <v>167</v>
      </c>
      <c r="AD8" s="7">
        <v>0</v>
      </c>
      <c r="AE8" s="6">
        <v>45</v>
      </c>
      <c r="AF8" s="7">
        <v>3</v>
      </c>
      <c r="AG8" s="6">
        <v>415</v>
      </c>
      <c r="AH8" s="7">
        <v>352</v>
      </c>
      <c r="AI8" s="6">
        <v>96</v>
      </c>
    </row>
    <row r="9" spans="1:35" ht="17.850000000000001" customHeight="1">
      <c r="A9" s="4"/>
      <c r="B9" s="5" t="s">
        <v>63</v>
      </c>
      <c r="C9" s="6">
        <v>15</v>
      </c>
      <c r="D9" s="7">
        <v>1215</v>
      </c>
      <c r="E9" s="6">
        <v>639</v>
      </c>
      <c r="F9" s="7">
        <v>120</v>
      </c>
      <c r="G9" s="6">
        <v>206</v>
      </c>
      <c r="H9" s="7">
        <v>16</v>
      </c>
      <c r="I9" s="6">
        <v>59</v>
      </c>
      <c r="J9" s="7">
        <v>0</v>
      </c>
      <c r="K9" s="6">
        <v>0</v>
      </c>
      <c r="L9" s="7">
        <v>1710</v>
      </c>
      <c r="M9" s="6">
        <v>38</v>
      </c>
      <c r="N9" s="7">
        <v>345</v>
      </c>
      <c r="O9" s="6">
        <v>226</v>
      </c>
      <c r="P9" s="7">
        <v>292</v>
      </c>
      <c r="Q9" s="6">
        <v>249</v>
      </c>
      <c r="R9" s="7">
        <v>96</v>
      </c>
      <c r="S9" s="6">
        <v>585</v>
      </c>
      <c r="T9" s="7">
        <v>61</v>
      </c>
      <c r="U9" s="6">
        <v>14</v>
      </c>
      <c r="V9" s="7">
        <v>0</v>
      </c>
      <c r="W9" s="6">
        <v>351</v>
      </c>
      <c r="X9" s="7">
        <v>155</v>
      </c>
      <c r="Y9" s="6">
        <v>24</v>
      </c>
      <c r="Z9" s="7">
        <v>604</v>
      </c>
      <c r="AA9" s="6">
        <v>1262</v>
      </c>
      <c r="AB9" s="7">
        <v>400</v>
      </c>
      <c r="AC9" s="6">
        <v>577</v>
      </c>
      <c r="AD9" s="7">
        <v>0</v>
      </c>
      <c r="AE9" s="6">
        <v>158</v>
      </c>
      <c r="AF9" s="7">
        <v>26</v>
      </c>
      <c r="AG9" s="6">
        <v>2560</v>
      </c>
      <c r="AH9" s="7">
        <v>1143</v>
      </c>
      <c r="AI9" s="6">
        <v>466</v>
      </c>
    </row>
    <row r="10" spans="1:35" ht="17.850000000000001" customHeight="1">
      <c r="A10" s="4"/>
      <c r="B10" s="5" t="s">
        <v>64</v>
      </c>
      <c r="C10" s="6">
        <v>10</v>
      </c>
      <c r="D10" s="7">
        <v>1390</v>
      </c>
      <c r="E10" s="6">
        <v>496</v>
      </c>
      <c r="F10" s="7">
        <v>111</v>
      </c>
      <c r="G10" s="6">
        <v>256</v>
      </c>
      <c r="H10" s="7">
        <v>29</v>
      </c>
      <c r="I10" s="6">
        <v>55</v>
      </c>
      <c r="J10" s="7">
        <v>1</v>
      </c>
      <c r="K10" s="6">
        <v>0</v>
      </c>
      <c r="L10" s="7">
        <v>1785</v>
      </c>
      <c r="M10" s="6">
        <v>48</v>
      </c>
      <c r="N10" s="7">
        <v>271</v>
      </c>
      <c r="O10" s="6">
        <v>217</v>
      </c>
      <c r="P10" s="7">
        <v>411</v>
      </c>
      <c r="Q10" s="6">
        <v>176</v>
      </c>
      <c r="R10" s="7">
        <v>103</v>
      </c>
      <c r="S10" s="6">
        <v>838</v>
      </c>
      <c r="T10" s="7">
        <v>72</v>
      </c>
      <c r="U10" s="6">
        <v>19</v>
      </c>
      <c r="V10" s="7">
        <v>3</v>
      </c>
      <c r="W10" s="6">
        <v>330</v>
      </c>
      <c r="X10" s="7">
        <v>185</v>
      </c>
      <c r="Y10" s="6">
        <v>23</v>
      </c>
      <c r="Z10" s="7">
        <v>524</v>
      </c>
      <c r="AA10" s="6">
        <v>1225</v>
      </c>
      <c r="AB10" s="7">
        <v>447</v>
      </c>
      <c r="AC10" s="6">
        <v>500</v>
      </c>
      <c r="AD10" s="7">
        <v>0</v>
      </c>
      <c r="AE10" s="6">
        <v>137</v>
      </c>
      <c r="AF10" s="7">
        <v>32</v>
      </c>
      <c r="AG10" s="6">
        <v>3117</v>
      </c>
      <c r="AH10" s="7">
        <v>919</v>
      </c>
      <c r="AI10" s="6">
        <v>431</v>
      </c>
    </row>
    <row r="11" spans="1:35" ht="17.850000000000001" customHeight="1">
      <c r="A11" s="4"/>
      <c r="B11" s="5" t="s">
        <v>68</v>
      </c>
      <c r="C11" s="6">
        <v>14</v>
      </c>
      <c r="D11" s="7">
        <v>1747</v>
      </c>
      <c r="E11" s="6">
        <v>739</v>
      </c>
      <c r="F11" s="7">
        <v>128</v>
      </c>
      <c r="G11" s="6">
        <v>420</v>
      </c>
      <c r="H11" s="7">
        <v>9</v>
      </c>
      <c r="I11" s="6">
        <v>27</v>
      </c>
      <c r="J11" s="7">
        <v>0</v>
      </c>
      <c r="K11" s="6">
        <v>0</v>
      </c>
      <c r="L11" s="7">
        <v>2421</v>
      </c>
      <c r="M11" s="6">
        <v>55</v>
      </c>
      <c r="N11" s="7">
        <v>194</v>
      </c>
      <c r="O11" s="6">
        <v>160</v>
      </c>
      <c r="P11" s="7">
        <v>343</v>
      </c>
      <c r="Q11" s="6">
        <v>90</v>
      </c>
      <c r="R11" s="7">
        <v>59</v>
      </c>
      <c r="S11" s="6">
        <v>712</v>
      </c>
      <c r="T11" s="7">
        <v>75</v>
      </c>
      <c r="U11" s="6">
        <v>13</v>
      </c>
      <c r="V11" s="7">
        <v>3</v>
      </c>
      <c r="W11" s="6">
        <v>265</v>
      </c>
      <c r="X11" s="7">
        <v>216</v>
      </c>
      <c r="Y11" s="6">
        <v>27</v>
      </c>
      <c r="Z11" s="7">
        <v>478</v>
      </c>
      <c r="AA11" s="6">
        <v>1699</v>
      </c>
      <c r="AB11" s="7">
        <v>716</v>
      </c>
      <c r="AC11" s="6">
        <v>695</v>
      </c>
      <c r="AD11" s="7">
        <v>0</v>
      </c>
      <c r="AE11" s="6">
        <v>176</v>
      </c>
      <c r="AF11" s="7">
        <v>57</v>
      </c>
      <c r="AG11" s="6">
        <v>3695</v>
      </c>
      <c r="AH11" s="7">
        <v>1612</v>
      </c>
      <c r="AI11" s="6">
        <v>911</v>
      </c>
    </row>
    <row r="12" spans="1:35" ht="17.850000000000001" customHeight="1">
      <c r="A12" s="4"/>
      <c r="B12" s="5" t="s">
        <v>65</v>
      </c>
      <c r="C12" s="6">
        <v>0</v>
      </c>
      <c r="D12" s="7">
        <v>7</v>
      </c>
      <c r="E12" s="6">
        <v>4</v>
      </c>
      <c r="F12" s="7">
        <v>0</v>
      </c>
      <c r="G12" s="6">
        <v>0</v>
      </c>
      <c r="H12" s="7">
        <v>0</v>
      </c>
      <c r="I12" s="6">
        <v>0</v>
      </c>
      <c r="J12" s="7">
        <v>0</v>
      </c>
      <c r="K12" s="6">
        <v>0</v>
      </c>
      <c r="L12" s="7">
        <v>8</v>
      </c>
      <c r="M12" s="6">
        <v>1</v>
      </c>
      <c r="N12" s="7">
        <v>2</v>
      </c>
      <c r="O12" s="6">
        <v>19</v>
      </c>
      <c r="P12" s="7">
        <v>4</v>
      </c>
      <c r="Q12" s="6">
        <v>2</v>
      </c>
      <c r="R12" s="7">
        <v>2</v>
      </c>
      <c r="S12" s="6">
        <v>2</v>
      </c>
      <c r="T12" s="7">
        <v>0</v>
      </c>
      <c r="U12" s="6">
        <v>0</v>
      </c>
      <c r="V12" s="7">
        <v>0</v>
      </c>
      <c r="W12" s="6">
        <v>7</v>
      </c>
      <c r="X12" s="7">
        <v>0</v>
      </c>
      <c r="Y12" s="6">
        <v>1</v>
      </c>
      <c r="Z12" s="7">
        <v>4</v>
      </c>
      <c r="AA12" s="6">
        <v>3</v>
      </c>
      <c r="AB12" s="7">
        <v>3</v>
      </c>
      <c r="AC12" s="6">
        <v>6</v>
      </c>
      <c r="AD12" s="7">
        <v>0</v>
      </c>
      <c r="AE12" s="6">
        <v>0</v>
      </c>
      <c r="AF12" s="7">
        <v>0</v>
      </c>
      <c r="AG12" s="6">
        <v>13</v>
      </c>
      <c r="AH12" s="7">
        <v>2</v>
      </c>
      <c r="AI12" s="6">
        <v>2</v>
      </c>
    </row>
    <row r="13" spans="1:35" ht="17.850000000000001" customHeight="1">
      <c r="A13" s="4"/>
      <c r="B13" s="31" t="s">
        <v>60</v>
      </c>
      <c r="C13" s="15">
        <v>41</v>
      </c>
      <c r="D13" s="16">
        <v>4931</v>
      </c>
      <c r="E13" s="15">
        <v>2663</v>
      </c>
      <c r="F13" s="16">
        <v>415</v>
      </c>
      <c r="G13" s="15">
        <v>1058</v>
      </c>
      <c r="H13" s="16">
        <v>61</v>
      </c>
      <c r="I13" s="15">
        <v>247</v>
      </c>
      <c r="J13" s="16">
        <v>4</v>
      </c>
      <c r="K13" s="15">
        <v>0</v>
      </c>
      <c r="L13" s="16">
        <v>6876</v>
      </c>
      <c r="M13" s="15">
        <v>162</v>
      </c>
      <c r="N13" s="16">
        <v>1558</v>
      </c>
      <c r="O13" s="15">
        <v>1071</v>
      </c>
      <c r="P13" s="16">
        <v>1207</v>
      </c>
      <c r="Q13" s="15">
        <v>1152</v>
      </c>
      <c r="R13" s="16">
        <v>415</v>
      </c>
      <c r="S13" s="15">
        <v>2642</v>
      </c>
      <c r="T13" s="16">
        <v>268</v>
      </c>
      <c r="U13" s="15">
        <v>70</v>
      </c>
      <c r="V13" s="16">
        <v>6</v>
      </c>
      <c r="W13" s="15">
        <v>1143</v>
      </c>
      <c r="X13" s="16">
        <v>680</v>
      </c>
      <c r="Y13" s="15">
        <v>129</v>
      </c>
      <c r="Z13" s="16">
        <v>2348</v>
      </c>
      <c r="AA13" s="15">
        <v>4686</v>
      </c>
      <c r="AB13" s="16">
        <v>1871</v>
      </c>
      <c r="AC13" s="15">
        <v>2492</v>
      </c>
      <c r="AD13" s="16">
        <v>0</v>
      </c>
      <c r="AE13" s="15">
        <v>551</v>
      </c>
      <c r="AF13" s="16">
        <v>134</v>
      </c>
      <c r="AG13" s="15">
        <v>10619</v>
      </c>
      <c r="AH13" s="16">
        <v>4879</v>
      </c>
      <c r="AI13" s="15">
        <v>2144</v>
      </c>
    </row>
    <row r="14" spans="1:35" ht="17.850000000000001" customHeight="1">
      <c r="A14" s="19" t="s">
        <v>66</v>
      </c>
      <c r="B14" s="19" t="s">
        <v>67</v>
      </c>
      <c r="C14" s="20">
        <v>0</v>
      </c>
      <c r="D14" s="21">
        <v>288</v>
      </c>
      <c r="E14" s="20">
        <v>603</v>
      </c>
      <c r="F14" s="21">
        <v>40</v>
      </c>
      <c r="G14" s="20">
        <v>4</v>
      </c>
      <c r="H14" s="21">
        <v>0</v>
      </c>
      <c r="I14" s="20">
        <v>37</v>
      </c>
      <c r="J14" s="21">
        <v>1</v>
      </c>
      <c r="K14" s="20">
        <v>0</v>
      </c>
      <c r="L14" s="21">
        <v>356</v>
      </c>
      <c r="M14" s="20">
        <v>1</v>
      </c>
      <c r="N14" s="21">
        <v>50</v>
      </c>
      <c r="O14" s="20">
        <v>38</v>
      </c>
      <c r="P14" s="21">
        <v>36</v>
      </c>
      <c r="Q14" s="20">
        <v>57</v>
      </c>
      <c r="R14" s="21">
        <v>14</v>
      </c>
      <c r="S14" s="20">
        <v>394</v>
      </c>
      <c r="T14" s="21">
        <v>8</v>
      </c>
      <c r="U14" s="20">
        <v>1</v>
      </c>
      <c r="V14" s="21">
        <v>0</v>
      </c>
      <c r="W14" s="20">
        <v>22</v>
      </c>
      <c r="X14" s="21">
        <v>28</v>
      </c>
      <c r="Y14" s="20">
        <v>13</v>
      </c>
      <c r="Z14" s="21">
        <v>219</v>
      </c>
      <c r="AA14" s="20">
        <v>66</v>
      </c>
      <c r="AB14" s="21">
        <v>23</v>
      </c>
      <c r="AC14" s="20">
        <v>172</v>
      </c>
      <c r="AD14" s="21">
        <v>0</v>
      </c>
      <c r="AE14" s="20">
        <v>13</v>
      </c>
      <c r="AF14" s="21">
        <v>10</v>
      </c>
      <c r="AG14" s="20">
        <v>281</v>
      </c>
      <c r="AH14" s="21">
        <v>459</v>
      </c>
      <c r="AI14" s="20">
        <v>33</v>
      </c>
    </row>
    <row r="15" spans="1:35" ht="17.850000000000001" customHeight="1">
      <c r="A15" s="4"/>
      <c r="B15" s="5" t="s">
        <v>62</v>
      </c>
      <c r="C15" s="6">
        <v>1</v>
      </c>
      <c r="D15" s="7">
        <v>132</v>
      </c>
      <c r="E15" s="6">
        <v>69</v>
      </c>
      <c r="F15" s="7">
        <v>16</v>
      </c>
      <c r="G15" s="6">
        <v>0</v>
      </c>
      <c r="H15" s="7">
        <v>0</v>
      </c>
      <c r="I15" s="6">
        <v>3</v>
      </c>
      <c r="J15" s="7">
        <v>0</v>
      </c>
      <c r="K15" s="6">
        <v>0</v>
      </c>
      <c r="L15" s="7">
        <v>112</v>
      </c>
      <c r="M15" s="6">
        <v>4</v>
      </c>
      <c r="N15" s="7">
        <v>15</v>
      </c>
      <c r="O15" s="6">
        <v>3</v>
      </c>
      <c r="P15" s="7">
        <v>13</v>
      </c>
      <c r="Q15" s="6">
        <v>9</v>
      </c>
      <c r="R15" s="7">
        <v>5</v>
      </c>
      <c r="S15" s="6">
        <v>88</v>
      </c>
      <c r="T15" s="7">
        <v>1</v>
      </c>
      <c r="U15" s="6">
        <v>2</v>
      </c>
      <c r="V15" s="7">
        <v>0</v>
      </c>
      <c r="W15" s="6">
        <v>14</v>
      </c>
      <c r="X15" s="7">
        <v>10</v>
      </c>
      <c r="Y15" s="6">
        <v>4</v>
      </c>
      <c r="Z15" s="7">
        <v>30</v>
      </c>
      <c r="AA15" s="6">
        <v>78</v>
      </c>
      <c r="AB15" s="7">
        <v>11</v>
      </c>
      <c r="AC15" s="6">
        <v>43</v>
      </c>
      <c r="AD15" s="7">
        <v>0</v>
      </c>
      <c r="AE15" s="6">
        <v>12</v>
      </c>
      <c r="AF15" s="7">
        <v>0</v>
      </c>
      <c r="AG15" s="6">
        <v>119</v>
      </c>
      <c r="AH15" s="7">
        <v>177</v>
      </c>
      <c r="AI15" s="6">
        <v>15</v>
      </c>
    </row>
    <row r="16" spans="1:35" ht="17.850000000000001" customHeight="1">
      <c r="A16" s="4"/>
      <c r="B16" s="5" t="s">
        <v>63</v>
      </c>
      <c r="C16" s="6">
        <v>2</v>
      </c>
      <c r="D16" s="7">
        <v>578</v>
      </c>
      <c r="E16" s="6">
        <v>264</v>
      </c>
      <c r="F16" s="7">
        <v>67</v>
      </c>
      <c r="G16" s="6">
        <v>9</v>
      </c>
      <c r="H16" s="7">
        <v>3</v>
      </c>
      <c r="I16" s="6">
        <v>10</v>
      </c>
      <c r="J16" s="7">
        <v>2</v>
      </c>
      <c r="K16" s="6">
        <v>0</v>
      </c>
      <c r="L16" s="7">
        <v>563</v>
      </c>
      <c r="M16" s="6">
        <v>14</v>
      </c>
      <c r="N16" s="7">
        <v>62</v>
      </c>
      <c r="O16" s="6">
        <v>32</v>
      </c>
      <c r="P16" s="7">
        <v>96</v>
      </c>
      <c r="Q16" s="6">
        <v>38</v>
      </c>
      <c r="R16" s="7">
        <v>20</v>
      </c>
      <c r="S16" s="6">
        <v>456</v>
      </c>
      <c r="T16" s="7">
        <v>16</v>
      </c>
      <c r="U16" s="6">
        <v>6</v>
      </c>
      <c r="V16" s="7">
        <v>1</v>
      </c>
      <c r="W16" s="6">
        <v>139</v>
      </c>
      <c r="X16" s="7">
        <v>64</v>
      </c>
      <c r="Y16" s="6">
        <v>6</v>
      </c>
      <c r="Z16" s="7">
        <v>203</v>
      </c>
      <c r="AA16" s="6">
        <v>406</v>
      </c>
      <c r="AB16" s="7">
        <v>88</v>
      </c>
      <c r="AC16" s="6">
        <v>213</v>
      </c>
      <c r="AD16" s="7">
        <v>0</v>
      </c>
      <c r="AE16" s="6">
        <v>21</v>
      </c>
      <c r="AF16" s="7">
        <v>1</v>
      </c>
      <c r="AG16" s="6">
        <v>919</v>
      </c>
      <c r="AH16" s="7">
        <v>321</v>
      </c>
      <c r="AI16" s="6">
        <v>87</v>
      </c>
    </row>
    <row r="17" spans="1:35" ht="17.850000000000001" customHeight="1">
      <c r="A17" s="4"/>
      <c r="B17" s="5" t="s">
        <v>64</v>
      </c>
      <c r="C17" s="6">
        <v>6</v>
      </c>
      <c r="D17" s="7">
        <v>584</v>
      </c>
      <c r="E17" s="6">
        <v>233</v>
      </c>
      <c r="F17" s="7">
        <v>61</v>
      </c>
      <c r="G17" s="6">
        <v>6</v>
      </c>
      <c r="H17" s="7">
        <v>4</v>
      </c>
      <c r="I17" s="6">
        <v>7</v>
      </c>
      <c r="J17" s="7">
        <v>0</v>
      </c>
      <c r="K17" s="6">
        <v>0</v>
      </c>
      <c r="L17" s="7">
        <v>473</v>
      </c>
      <c r="M17" s="6">
        <v>15</v>
      </c>
      <c r="N17" s="7">
        <v>55</v>
      </c>
      <c r="O17" s="6">
        <v>32</v>
      </c>
      <c r="P17" s="7">
        <v>110</v>
      </c>
      <c r="Q17" s="6">
        <v>39</v>
      </c>
      <c r="R17" s="7">
        <v>9</v>
      </c>
      <c r="S17" s="6">
        <v>613</v>
      </c>
      <c r="T17" s="7">
        <v>28</v>
      </c>
      <c r="U17" s="6">
        <v>4</v>
      </c>
      <c r="V17" s="7">
        <v>1</v>
      </c>
      <c r="W17" s="6">
        <v>143</v>
      </c>
      <c r="X17" s="7">
        <v>76</v>
      </c>
      <c r="Y17" s="6">
        <v>4</v>
      </c>
      <c r="Z17" s="7">
        <v>190</v>
      </c>
      <c r="AA17" s="6">
        <v>387</v>
      </c>
      <c r="AB17" s="7">
        <v>65</v>
      </c>
      <c r="AC17" s="6">
        <v>190</v>
      </c>
      <c r="AD17" s="7">
        <v>0</v>
      </c>
      <c r="AE17" s="6">
        <v>22</v>
      </c>
      <c r="AF17" s="7">
        <v>0</v>
      </c>
      <c r="AG17" s="6">
        <v>891</v>
      </c>
      <c r="AH17" s="7">
        <v>255</v>
      </c>
      <c r="AI17" s="6">
        <v>71</v>
      </c>
    </row>
    <row r="18" spans="1:35" ht="17.850000000000001" customHeight="1">
      <c r="A18" s="4"/>
      <c r="B18" s="5" t="s">
        <v>68</v>
      </c>
      <c r="C18" s="6">
        <v>2</v>
      </c>
      <c r="D18" s="7">
        <v>662</v>
      </c>
      <c r="E18" s="6">
        <v>267</v>
      </c>
      <c r="F18" s="7">
        <v>66</v>
      </c>
      <c r="G18" s="6">
        <v>13</v>
      </c>
      <c r="H18" s="7">
        <v>1</v>
      </c>
      <c r="I18" s="6">
        <v>4</v>
      </c>
      <c r="J18" s="7">
        <v>0</v>
      </c>
      <c r="K18" s="6">
        <v>0</v>
      </c>
      <c r="L18" s="7">
        <v>547</v>
      </c>
      <c r="M18" s="6">
        <v>14</v>
      </c>
      <c r="N18" s="7">
        <v>41</v>
      </c>
      <c r="O18" s="6">
        <v>16</v>
      </c>
      <c r="P18" s="7">
        <v>97</v>
      </c>
      <c r="Q18" s="6">
        <v>15</v>
      </c>
      <c r="R18" s="7">
        <v>8</v>
      </c>
      <c r="S18" s="6">
        <v>525</v>
      </c>
      <c r="T18" s="7">
        <v>36</v>
      </c>
      <c r="U18" s="6">
        <v>6</v>
      </c>
      <c r="V18" s="7">
        <v>0</v>
      </c>
      <c r="W18" s="6">
        <v>121</v>
      </c>
      <c r="X18" s="7">
        <v>92</v>
      </c>
      <c r="Y18" s="6">
        <v>11</v>
      </c>
      <c r="Z18" s="7">
        <v>191</v>
      </c>
      <c r="AA18" s="6">
        <v>447</v>
      </c>
      <c r="AB18" s="7">
        <v>92</v>
      </c>
      <c r="AC18" s="6">
        <v>228</v>
      </c>
      <c r="AD18" s="7">
        <v>0</v>
      </c>
      <c r="AE18" s="6">
        <v>52</v>
      </c>
      <c r="AF18" s="7">
        <v>1</v>
      </c>
      <c r="AG18" s="6">
        <v>826</v>
      </c>
      <c r="AH18" s="7">
        <v>364</v>
      </c>
      <c r="AI18" s="6">
        <v>89</v>
      </c>
    </row>
    <row r="19" spans="1:35" ht="17.850000000000001" customHeight="1">
      <c r="A19" s="4"/>
      <c r="B19" s="5" t="s">
        <v>65</v>
      </c>
      <c r="C19" s="6">
        <v>0</v>
      </c>
      <c r="D19" s="7">
        <v>0</v>
      </c>
      <c r="E19" s="6">
        <v>6</v>
      </c>
      <c r="F19" s="7">
        <v>0</v>
      </c>
      <c r="G19" s="6">
        <v>0</v>
      </c>
      <c r="H19" s="7">
        <v>0</v>
      </c>
      <c r="I19" s="6">
        <v>0</v>
      </c>
      <c r="J19" s="7">
        <v>0</v>
      </c>
      <c r="K19" s="6">
        <v>0</v>
      </c>
      <c r="L19" s="7">
        <v>5</v>
      </c>
      <c r="M19" s="6">
        <v>0</v>
      </c>
      <c r="N19" s="7">
        <v>0</v>
      </c>
      <c r="O19" s="6">
        <v>1</v>
      </c>
      <c r="P19" s="7">
        <v>0</v>
      </c>
      <c r="Q19" s="6">
        <v>0</v>
      </c>
      <c r="R19" s="7">
        <v>0</v>
      </c>
      <c r="S19" s="6">
        <v>3</v>
      </c>
      <c r="T19" s="7">
        <v>0</v>
      </c>
      <c r="U19" s="6">
        <v>0</v>
      </c>
      <c r="V19" s="7">
        <v>0</v>
      </c>
      <c r="W19" s="6">
        <v>0</v>
      </c>
      <c r="X19" s="7">
        <v>3</v>
      </c>
      <c r="Y19" s="6">
        <v>0</v>
      </c>
      <c r="Z19" s="7">
        <v>1</v>
      </c>
      <c r="AA19" s="6">
        <v>2</v>
      </c>
      <c r="AB19" s="7">
        <v>1</v>
      </c>
      <c r="AC19" s="6">
        <v>2</v>
      </c>
      <c r="AD19" s="7">
        <v>0</v>
      </c>
      <c r="AE19" s="6">
        <v>0</v>
      </c>
      <c r="AF19" s="7">
        <v>0</v>
      </c>
      <c r="AG19" s="6">
        <v>2</v>
      </c>
      <c r="AH19" s="7">
        <v>1</v>
      </c>
      <c r="AI19" s="6">
        <v>2</v>
      </c>
    </row>
    <row r="20" spans="1:35" ht="17.850000000000001" customHeight="1">
      <c r="A20" s="37"/>
      <c r="B20" s="31" t="s">
        <v>60</v>
      </c>
      <c r="C20" s="15">
        <v>11</v>
      </c>
      <c r="D20" s="16">
        <v>2244</v>
      </c>
      <c r="E20" s="15">
        <v>1442</v>
      </c>
      <c r="F20" s="16">
        <v>250</v>
      </c>
      <c r="G20" s="15">
        <v>32</v>
      </c>
      <c r="H20" s="16">
        <v>8</v>
      </c>
      <c r="I20" s="15">
        <v>61</v>
      </c>
      <c r="J20" s="16">
        <v>3</v>
      </c>
      <c r="K20" s="15">
        <v>0</v>
      </c>
      <c r="L20" s="16">
        <v>2056</v>
      </c>
      <c r="M20" s="15">
        <v>48</v>
      </c>
      <c r="N20" s="16">
        <v>223</v>
      </c>
      <c r="O20" s="15">
        <v>122</v>
      </c>
      <c r="P20" s="16">
        <v>352</v>
      </c>
      <c r="Q20" s="15">
        <v>158</v>
      </c>
      <c r="R20" s="16">
        <v>56</v>
      </c>
      <c r="S20" s="15">
        <v>2079</v>
      </c>
      <c r="T20" s="16">
        <v>89</v>
      </c>
      <c r="U20" s="15">
        <v>19</v>
      </c>
      <c r="V20" s="16">
        <v>2</v>
      </c>
      <c r="W20" s="15">
        <v>439</v>
      </c>
      <c r="X20" s="16">
        <v>273</v>
      </c>
      <c r="Y20" s="15">
        <v>38</v>
      </c>
      <c r="Z20" s="16">
        <v>834</v>
      </c>
      <c r="AA20" s="15">
        <v>1386</v>
      </c>
      <c r="AB20" s="16">
        <v>280</v>
      </c>
      <c r="AC20" s="15">
        <v>848</v>
      </c>
      <c r="AD20" s="16">
        <v>0</v>
      </c>
      <c r="AE20" s="15">
        <v>120</v>
      </c>
      <c r="AF20" s="16">
        <v>12</v>
      </c>
      <c r="AG20" s="15">
        <v>3038</v>
      </c>
      <c r="AH20" s="16">
        <v>1577</v>
      </c>
      <c r="AI20" s="15">
        <v>297</v>
      </c>
    </row>
    <row r="21" spans="1:35" ht="17.850000000000001" customHeight="1">
      <c r="A21" s="5" t="s">
        <v>59</v>
      </c>
      <c r="B21" s="5" t="s">
        <v>67</v>
      </c>
      <c r="C21" s="6">
        <v>0</v>
      </c>
      <c r="D21" s="7">
        <v>0</v>
      </c>
      <c r="E21" s="6">
        <v>0</v>
      </c>
      <c r="F21" s="7">
        <v>0</v>
      </c>
      <c r="G21" s="6">
        <v>0</v>
      </c>
      <c r="H21" s="7">
        <v>0</v>
      </c>
      <c r="I21" s="6">
        <v>0</v>
      </c>
      <c r="J21" s="7">
        <v>0</v>
      </c>
      <c r="K21" s="6">
        <v>0</v>
      </c>
      <c r="L21" s="7">
        <v>0</v>
      </c>
      <c r="M21" s="6">
        <v>0</v>
      </c>
      <c r="N21" s="7">
        <v>6</v>
      </c>
      <c r="O21" s="6">
        <v>1</v>
      </c>
      <c r="P21" s="7">
        <v>0</v>
      </c>
      <c r="Q21" s="6">
        <v>2</v>
      </c>
      <c r="R21" s="7">
        <v>1</v>
      </c>
      <c r="S21" s="6">
        <v>1</v>
      </c>
      <c r="T21" s="7">
        <v>0</v>
      </c>
      <c r="U21" s="6">
        <v>0</v>
      </c>
      <c r="V21" s="7">
        <v>0</v>
      </c>
      <c r="W21" s="6">
        <v>2</v>
      </c>
      <c r="X21" s="7">
        <v>0</v>
      </c>
      <c r="Y21" s="6">
        <v>0</v>
      </c>
      <c r="Z21" s="7">
        <v>1</v>
      </c>
      <c r="AA21" s="6">
        <v>2</v>
      </c>
      <c r="AB21" s="7">
        <v>0</v>
      </c>
      <c r="AC21" s="6">
        <v>0</v>
      </c>
      <c r="AD21" s="7">
        <v>0</v>
      </c>
      <c r="AE21" s="6">
        <v>0</v>
      </c>
      <c r="AF21" s="7">
        <v>1</v>
      </c>
      <c r="AG21" s="6">
        <v>0</v>
      </c>
      <c r="AH21" s="7">
        <v>8</v>
      </c>
      <c r="AI21" s="6">
        <v>1</v>
      </c>
    </row>
    <row r="22" spans="1:35" ht="17.850000000000001" customHeight="1">
      <c r="A22" s="4"/>
      <c r="B22" s="5" t="s">
        <v>62</v>
      </c>
      <c r="C22" s="6">
        <v>0</v>
      </c>
      <c r="D22" s="7">
        <v>1</v>
      </c>
      <c r="E22" s="6">
        <v>1</v>
      </c>
      <c r="F22" s="7">
        <v>0</v>
      </c>
      <c r="G22" s="6">
        <v>0</v>
      </c>
      <c r="H22" s="7">
        <v>0</v>
      </c>
      <c r="I22" s="6">
        <v>0</v>
      </c>
      <c r="J22" s="7">
        <v>0</v>
      </c>
      <c r="K22" s="6">
        <v>0</v>
      </c>
      <c r="L22" s="7">
        <v>1</v>
      </c>
      <c r="M22" s="6">
        <v>0</v>
      </c>
      <c r="N22" s="7">
        <v>0</v>
      </c>
      <c r="O22" s="6">
        <v>0</v>
      </c>
      <c r="P22" s="7">
        <v>0</v>
      </c>
      <c r="Q22" s="6">
        <v>0</v>
      </c>
      <c r="R22" s="7">
        <v>0</v>
      </c>
      <c r="S22" s="6">
        <v>0</v>
      </c>
      <c r="T22" s="7">
        <v>0</v>
      </c>
      <c r="U22" s="6">
        <v>0</v>
      </c>
      <c r="V22" s="7">
        <v>0</v>
      </c>
      <c r="W22" s="6">
        <v>0</v>
      </c>
      <c r="X22" s="7">
        <v>0</v>
      </c>
      <c r="Y22" s="6">
        <v>0</v>
      </c>
      <c r="Z22" s="7">
        <v>0</v>
      </c>
      <c r="AA22" s="6">
        <v>0</v>
      </c>
      <c r="AB22" s="7">
        <v>0</v>
      </c>
      <c r="AC22" s="6">
        <v>0</v>
      </c>
      <c r="AD22" s="7">
        <v>0</v>
      </c>
      <c r="AE22" s="6">
        <v>0</v>
      </c>
      <c r="AF22" s="7">
        <v>0</v>
      </c>
      <c r="AG22" s="6">
        <v>4</v>
      </c>
      <c r="AH22" s="7">
        <v>2</v>
      </c>
      <c r="AI22" s="6">
        <v>1</v>
      </c>
    </row>
    <row r="23" spans="1:35" ht="17.850000000000001" customHeight="1">
      <c r="A23" s="4"/>
      <c r="B23" s="5" t="s">
        <v>63</v>
      </c>
      <c r="C23" s="6">
        <v>0</v>
      </c>
      <c r="D23" s="7">
        <v>3</v>
      </c>
      <c r="E23" s="6">
        <v>1</v>
      </c>
      <c r="F23" s="7">
        <v>0</v>
      </c>
      <c r="G23" s="6">
        <v>0</v>
      </c>
      <c r="H23" s="7">
        <v>0</v>
      </c>
      <c r="I23" s="6">
        <v>0</v>
      </c>
      <c r="J23" s="7">
        <v>0</v>
      </c>
      <c r="K23" s="6">
        <v>0</v>
      </c>
      <c r="L23" s="7">
        <v>1</v>
      </c>
      <c r="M23" s="6">
        <v>0</v>
      </c>
      <c r="N23" s="7">
        <v>0</v>
      </c>
      <c r="O23" s="6">
        <v>0</v>
      </c>
      <c r="P23" s="7">
        <v>1</v>
      </c>
      <c r="Q23" s="6">
        <v>0</v>
      </c>
      <c r="R23" s="7">
        <v>0</v>
      </c>
      <c r="S23" s="6">
        <v>2</v>
      </c>
      <c r="T23" s="7">
        <v>0</v>
      </c>
      <c r="U23" s="6">
        <v>0</v>
      </c>
      <c r="V23" s="7">
        <v>0</v>
      </c>
      <c r="W23" s="6">
        <v>0</v>
      </c>
      <c r="X23" s="7">
        <v>0</v>
      </c>
      <c r="Y23" s="6">
        <v>0</v>
      </c>
      <c r="Z23" s="7">
        <v>0</v>
      </c>
      <c r="AA23" s="6">
        <v>1</v>
      </c>
      <c r="AB23" s="7">
        <v>0</v>
      </c>
      <c r="AC23" s="6">
        <v>3</v>
      </c>
      <c r="AD23" s="7">
        <v>0</v>
      </c>
      <c r="AE23" s="6">
        <v>0</v>
      </c>
      <c r="AF23" s="7">
        <v>0</v>
      </c>
      <c r="AG23" s="6">
        <v>5</v>
      </c>
      <c r="AH23" s="7">
        <v>5</v>
      </c>
      <c r="AI23" s="6">
        <v>0</v>
      </c>
    </row>
    <row r="24" spans="1:35" ht="17.850000000000001" customHeight="1">
      <c r="A24" s="4"/>
      <c r="B24" s="5" t="s">
        <v>64</v>
      </c>
      <c r="C24" s="6">
        <v>0</v>
      </c>
      <c r="D24" s="7">
        <v>0</v>
      </c>
      <c r="E24" s="6">
        <v>0</v>
      </c>
      <c r="F24" s="7">
        <v>0</v>
      </c>
      <c r="G24" s="6">
        <v>0</v>
      </c>
      <c r="H24" s="7">
        <v>0</v>
      </c>
      <c r="I24" s="6">
        <v>0</v>
      </c>
      <c r="J24" s="7">
        <v>0</v>
      </c>
      <c r="K24" s="6">
        <v>0</v>
      </c>
      <c r="L24" s="7">
        <v>2</v>
      </c>
      <c r="M24" s="6">
        <v>0</v>
      </c>
      <c r="N24" s="7">
        <v>0</v>
      </c>
      <c r="O24" s="6">
        <v>0</v>
      </c>
      <c r="P24" s="7">
        <v>0</v>
      </c>
      <c r="Q24" s="6">
        <v>0</v>
      </c>
      <c r="R24" s="7">
        <v>0</v>
      </c>
      <c r="S24" s="6">
        <v>0</v>
      </c>
      <c r="T24" s="7">
        <v>0</v>
      </c>
      <c r="U24" s="6">
        <v>0</v>
      </c>
      <c r="V24" s="7">
        <v>0</v>
      </c>
      <c r="W24" s="6">
        <v>0</v>
      </c>
      <c r="X24" s="7">
        <v>0</v>
      </c>
      <c r="Y24" s="6">
        <v>0</v>
      </c>
      <c r="Z24" s="7">
        <v>0</v>
      </c>
      <c r="AA24" s="6">
        <v>1</v>
      </c>
      <c r="AB24" s="7">
        <v>0</v>
      </c>
      <c r="AC24" s="6">
        <v>0</v>
      </c>
      <c r="AD24" s="7">
        <v>0</v>
      </c>
      <c r="AE24" s="6">
        <v>0</v>
      </c>
      <c r="AF24" s="7">
        <v>0</v>
      </c>
      <c r="AG24" s="6">
        <v>0</v>
      </c>
      <c r="AH24" s="7">
        <v>3</v>
      </c>
      <c r="AI24" s="6">
        <v>1</v>
      </c>
    </row>
    <row r="25" spans="1:35" ht="17.850000000000001" customHeight="1">
      <c r="A25" s="4"/>
      <c r="B25" s="5" t="s">
        <v>68</v>
      </c>
      <c r="C25" s="6">
        <v>0</v>
      </c>
      <c r="D25" s="7">
        <v>1</v>
      </c>
      <c r="E25" s="6">
        <v>1</v>
      </c>
      <c r="F25" s="7">
        <v>0</v>
      </c>
      <c r="G25" s="6">
        <v>0</v>
      </c>
      <c r="H25" s="7">
        <v>0</v>
      </c>
      <c r="I25" s="6">
        <v>0</v>
      </c>
      <c r="J25" s="7">
        <v>0</v>
      </c>
      <c r="K25" s="6">
        <v>0</v>
      </c>
      <c r="L25" s="7">
        <v>0</v>
      </c>
      <c r="M25" s="6">
        <v>0</v>
      </c>
      <c r="N25" s="7">
        <v>0</v>
      </c>
      <c r="O25" s="6">
        <v>0</v>
      </c>
      <c r="P25" s="7">
        <v>0</v>
      </c>
      <c r="Q25" s="6">
        <v>0</v>
      </c>
      <c r="R25" s="7">
        <v>0</v>
      </c>
      <c r="S25" s="6">
        <v>0</v>
      </c>
      <c r="T25" s="7">
        <v>0</v>
      </c>
      <c r="U25" s="6">
        <v>0</v>
      </c>
      <c r="V25" s="7">
        <v>0</v>
      </c>
      <c r="W25" s="6">
        <v>0</v>
      </c>
      <c r="X25" s="7">
        <v>1</v>
      </c>
      <c r="Y25" s="6">
        <v>0</v>
      </c>
      <c r="Z25" s="7">
        <v>0</v>
      </c>
      <c r="AA25" s="6">
        <v>0</v>
      </c>
      <c r="AB25" s="7">
        <v>0</v>
      </c>
      <c r="AC25" s="6">
        <v>1</v>
      </c>
      <c r="AD25" s="7">
        <v>0</v>
      </c>
      <c r="AE25" s="6">
        <v>0</v>
      </c>
      <c r="AF25" s="7">
        <v>0</v>
      </c>
      <c r="AG25" s="6">
        <v>1</v>
      </c>
      <c r="AH25" s="7">
        <v>2</v>
      </c>
      <c r="AI25" s="6">
        <v>1</v>
      </c>
    </row>
    <row r="26" spans="1:35" ht="17.850000000000001" customHeight="1">
      <c r="A26" s="4"/>
      <c r="B26" s="5" t="s">
        <v>65</v>
      </c>
      <c r="C26" s="6">
        <v>0</v>
      </c>
      <c r="D26" s="7">
        <v>0</v>
      </c>
      <c r="E26" s="6">
        <v>0</v>
      </c>
      <c r="F26" s="7">
        <v>0</v>
      </c>
      <c r="G26" s="6">
        <v>0</v>
      </c>
      <c r="H26" s="7">
        <v>0</v>
      </c>
      <c r="I26" s="6">
        <v>0</v>
      </c>
      <c r="J26" s="7">
        <v>0</v>
      </c>
      <c r="K26" s="6">
        <v>0</v>
      </c>
      <c r="L26" s="7">
        <v>0</v>
      </c>
      <c r="M26" s="6">
        <v>0</v>
      </c>
      <c r="N26" s="7">
        <v>0</v>
      </c>
      <c r="O26" s="6">
        <v>0</v>
      </c>
      <c r="P26" s="7">
        <v>0</v>
      </c>
      <c r="Q26" s="6">
        <v>0</v>
      </c>
      <c r="R26" s="7">
        <v>0</v>
      </c>
      <c r="S26" s="6">
        <v>0</v>
      </c>
      <c r="T26" s="7">
        <v>0</v>
      </c>
      <c r="U26" s="6">
        <v>0</v>
      </c>
      <c r="V26" s="7">
        <v>0</v>
      </c>
      <c r="W26" s="6">
        <v>0</v>
      </c>
      <c r="X26" s="7">
        <v>0</v>
      </c>
      <c r="Y26" s="6">
        <v>0</v>
      </c>
      <c r="Z26" s="7">
        <v>0</v>
      </c>
      <c r="AA26" s="6">
        <v>0</v>
      </c>
      <c r="AB26" s="7">
        <v>0</v>
      </c>
      <c r="AC26" s="6">
        <v>0</v>
      </c>
      <c r="AD26" s="7">
        <v>0</v>
      </c>
      <c r="AE26" s="6">
        <v>20</v>
      </c>
      <c r="AF26" s="7">
        <v>0</v>
      </c>
      <c r="AG26" s="6">
        <v>0</v>
      </c>
      <c r="AH26" s="7">
        <v>0</v>
      </c>
      <c r="AI26" s="6">
        <v>17</v>
      </c>
    </row>
    <row r="27" spans="1:35" ht="17.850000000000001" customHeight="1">
      <c r="A27" s="4"/>
      <c r="B27" s="31" t="s">
        <v>60</v>
      </c>
      <c r="C27" s="15">
        <v>0</v>
      </c>
      <c r="D27" s="16">
        <v>5</v>
      </c>
      <c r="E27" s="15">
        <v>3</v>
      </c>
      <c r="F27" s="16">
        <v>0</v>
      </c>
      <c r="G27" s="15">
        <v>0</v>
      </c>
      <c r="H27" s="16">
        <v>0</v>
      </c>
      <c r="I27" s="15">
        <v>0</v>
      </c>
      <c r="J27" s="16">
        <v>0</v>
      </c>
      <c r="K27" s="15">
        <v>0</v>
      </c>
      <c r="L27" s="16">
        <v>4</v>
      </c>
      <c r="M27" s="15">
        <v>0</v>
      </c>
      <c r="N27" s="16">
        <v>6</v>
      </c>
      <c r="O27" s="15">
        <v>1</v>
      </c>
      <c r="P27" s="16">
        <v>1</v>
      </c>
      <c r="Q27" s="15">
        <v>2</v>
      </c>
      <c r="R27" s="16">
        <v>1</v>
      </c>
      <c r="S27" s="15">
        <v>3</v>
      </c>
      <c r="T27" s="16">
        <v>0</v>
      </c>
      <c r="U27" s="15">
        <v>0</v>
      </c>
      <c r="V27" s="16">
        <v>0</v>
      </c>
      <c r="W27" s="15">
        <v>2</v>
      </c>
      <c r="X27" s="16">
        <v>1</v>
      </c>
      <c r="Y27" s="15">
        <v>0</v>
      </c>
      <c r="Z27" s="16">
        <v>1</v>
      </c>
      <c r="AA27" s="15">
        <v>4</v>
      </c>
      <c r="AB27" s="16">
        <v>0</v>
      </c>
      <c r="AC27" s="15">
        <v>4</v>
      </c>
      <c r="AD27" s="16">
        <v>0</v>
      </c>
      <c r="AE27" s="15">
        <v>20</v>
      </c>
      <c r="AF27" s="16">
        <v>1</v>
      </c>
      <c r="AG27" s="15">
        <v>10</v>
      </c>
      <c r="AH27" s="16">
        <v>20</v>
      </c>
      <c r="AI27" s="15">
        <v>21</v>
      </c>
    </row>
    <row r="28" spans="1:35" ht="17.850000000000001" customHeight="1">
      <c r="A28" s="30" t="s">
        <v>60</v>
      </c>
      <c r="B28" s="19" t="s">
        <v>67</v>
      </c>
      <c r="C28" s="20">
        <v>1</v>
      </c>
      <c r="D28" s="21">
        <v>667</v>
      </c>
      <c r="E28" s="20">
        <v>1244</v>
      </c>
      <c r="F28" s="21">
        <v>76</v>
      </c>
      <c r="G28" s="20">
        <v>120</v>
      </c>
      <c r="H28" s="21">
        <v>5</v>
      </c>
      <c r="I28" s="20">
        <v>127</v>
      </c>
      <c r="J28" s="21">
        <v>3</v>
      </c>
      <c r="K28" s="20">
        <v>0</v>
      </c>
      <c r="L28" s="21">
        <v>989</v>
      </c>
      <c r="M28" s="20">
        <v>14</v>
      </c>
      <c r="N28" s="21">
        <v>698</v>
      </c>
      <c r="O28" s="20">
        <v>430</v>
      </c>
      <c r="P28" s="21">
        <v>156</v>
      </c>
      <c r="Q28" s="20">
        <v>601</v>
      </c>
      <c r="R28" s="21">
        <v>151</v>
      </c>
      <c r="S28" s="20">
        <v>794</v>
      </c>
      <c r="T28" s="21">
        <v>62</v>
      </c>
      <c r="U28" s="20">
        <v>21</v>
      </c>
      <c r="V28" s="21">
        <v>0</v>
      </c>
      <c r="W28" s="20">
        <v>174</v>
      </c>
      <c r="X28" s="21">
        <v>132</v>
      </c>
      <c r="Y28" s="20">
        <v>60</v>
      </c>
      <c r="Z28" s="21">
        <v>816</v>
      </c>
      <c r="AA28" s="20">
        <v>333</v>
      </c>
      <c r="AB28" s="21">
        <v>234</v>
      </c>
      <c r="AC28" s="20">
        <v>719</v>
      </c>
      <c r="AD28" s="21">
        <v>0</v>
      </c>
      <c r="AE28" s="20">
        <v>48</v>
      </c>
      <c r="AF28" s="21">
        <v>27</v>
      </c>
      <c r="AG28" s="20">
        <v>1100</v>
      </c>
      <c r="AH28" s="21">
        <v>1318</v>
      </c>
      <c r="AI28" s="20">
        <v>272</v>
      </c>
    </row>
    <row r="29" spans="1:35" ht="17.850000000000001" customHeight="1">
      <c r="A29" s="4"/>
      <c r="B29" s="5" t="s">
        <v>62</v>
      </c>
      <c r="C29" s="6">
        <v>2</v>
      </c>
      <c r="D29" s="7">
        <v>326</v>
      </c>
      <c r="E29" s="6">
        <v>214</v>
      </c>
      <c r="F29" s="7">
        <v>36</v>
      </c>
      <c r="G29" s="6">
        <v>60</v>
      </c>
      <c r="H29" s="7">
        <v>2</v>
      </c>
      <c r="I29" s="6">
        <v>19</v>
      </c>
      <c r="J29" s="7">
        <v>1</v>
      </c>
      <c r="K29" s="6">
        <v>0</v>
      </c>
      <c r="L29" s="7">
        <v>432</v>
      </c>
      <c r="M29" s="6">
        <v>11</v>
      </c>
      <c r="N29" s="7">
        <v>119</v>
      </c>
      <c r="O29" s="6">
        <v>61</v>
      </c>
      <c r="P29" s="7">
        <v>50</v>
      </c>
      <c r="Q29" s="6">
        <v>102</v>
      </c>
      <c r="R29" s="7">
        <v>24</v>
      </c>
      <c r="S29" s="6">
        <v>194</v>
      </c>
      <c r="T29" s="7">
        <v>7</v>
      </c>
      <c r="U29" s="6">
        <v>6</v>
      </c>
      <c r="V29" s="7">
        <v>0</v>
      </c>
      <c r="W29" s="6">
        <v>54</v>
      </c>
      <c r="X29" s="7">
        <v>30</v>
      </c>
      <c r="Y29" s="6">
        <v>11</v>
      </c>
      <c r="Z29" s="7">
        <v>172</v>
      </c>
      <c r="AA29" s="6">
        <v>310</v>
      </c>
      <c r="AB29" s="7">
        <v>105</v>
      </c>
      <c r="AC29" s="6">
        <v>210</v>
      </c>
      <c r="AD29" s="7">
        <v>0</v>
      </c>
      <c r="AE29" s="6">
        <v>57</v>
      </c>
      <c r="AF29" s="7">
        <v>3</v>
      </c>
      <c r="AG29" s="6">
        <v>538</v>
      </c>
      <c r="AH29" s="7">
        <v>531</v>
      </c>
      <c r="AI29" s="6">
        <v>112</v>
      </c>
    </row>
    <row r="30" spans="1:35" ht="17.850000000000001" customHeight="1">
      <c r="A30" s="4"/>
      <c r="B30" s="5" t="s">
        <v>63</v>
      </c>
      <c r="C30" s="6">
        <v>17</v>
      </c>
      <c r="D30" s="7">
        <v>1796</v>
      </c>
      <c r="E30" s="6">
        <v>904</v>
      </c>
      <c r="F30" s="7">
        <v>187</v>
      </c>
      <c r="G30" s="6">
        <v>215</v>
      </c>
      <c r="H30" s="7">
        <v>19</v>
      </c>
      <c r="I30" s="6">
        <v>69</v>
      </c>
      <c r="J30" s="7">
        <v>2</v>
      </c>
      <c r="K30" s="6">
        <v>0</v>
      </c>
      <c r="L30" s="7">
        <v>2274</v>
      </c>
      <c r="M30" s="6">
        <v>52</v>
      </c>
      <c r="N30" s="7">
        <v>407</v>
      </c>
      <c r="O30" s="6">
        <v>258</v>
      </c>
      <c r="P30" s="7">
        <v>389</v>
      </c>
      <c r="Q30" s="6">
        <v>287</v>
      </c>
      <c r="R30" s="7">
        <v>116</v>
      </c>
      <c r="S30" s="6">
        <v>1043</v>
      </c>
      <c r="T30" s="7">
        <v>77</v>
      </c>
      <c r="U30" s="6">
        <v>20</v>
      </c>
      <c r="V30" s="7">
        <v>1</v>
      </c>
      <c r="W30" s="6">
        <v>490</v>
      </c>
      <c r="X30" s="7">
        <v>219</v>
      </c>
      <c r="Y30" s="6">
        <v>30</v>
      </c>
      <c r="Z30" s="7">
        <v>807</v>
      </c>
      <c r="AA30" s="6">
        <v>1669</v>
      </c>
      <c r="AB30" s="7">
        <v>488</v>
      </c>
      <c r="AC30" s="6">
        <v>793</v>
      </c>
      <c r="AD30" s="7">
        <v>0</v>
      </c>
      <c r="AE30" s="6">
        <v>179</v>
      </c>
      <c r="AF30" s="7">
        <v>27</v>
      </c>
      <c r="AG30" s="6">
        <v>3484</v>
      </c>
      <c r="AH30" s="7">
        <v>1469</v>
      </c>
      <c r="AI30" s="6">
        <v>553</v>
      </c>
    </row>
    <row r="31" spans="1:35" ht="17.850000000000001" customHeight="1">
      <c r="A31" s="4"/>
      <c r="B31" s="5" t="s">
        <v>64</v>
      </c>
      <c r="C31" s="6">
        <v>16</v>
      </c>
      <c r="D31" s="7">
        <v>1974</v>
      </c>
      <c r="E31" s="6">
        <v>729</v>
      </c>
      <c r="F31" s="7">
        <v>172</v>
      </c>
      <c r="G31" s="6">
        <v>262</v>
      </c>
      <c r="H31" s="7">
        <v>33</v>
      </c>
      <c r="I31" s="6">
        <v>62</v>
      </c>
      <c r="J31" s="7">
        <v>1</v>
      </c>
      <c r="K31" s="6">
        <v>0</v>
      </c>
      <c r="L31" s="7">
        <v>2260</v>
      </c>
      <c r="M31" s="6">
        <v>63</v>
      </c>
      <c r="N31" s="7">
        <v>326</v>
      </c>
      <c r="O31" s="6">
        <v>249</v>
      </c>
      <c r="P31" s="7">
        <v>521</v>
      </c>
      <c r="Q31" s="6">
        <v>215</v>
      </c>
      <c r="R31" s="7">
        <v>112</v>
      </c>
      <c r="S31" s="6">
        <v>1451</v>
      </c>
      <c r="T31" s="7">
        <v>100</v>
      </c>
      <c r="U31" s="6">
        <v>23</v>
      </c>
      <c r="V31" s="7">
        <v>4</v>
      </c>
      <c r="W31" s="6">
        <v>473</v>
      </c>
      <c r="X31" s="7">
        <v>261</v>
      </c>
      <c r="Y31" s="6">
        <v>27</v>
      </c>
      <c r="Z31" s="7">
        <v>714</v>
      </c>
      <c r="AA31" s="6">
        <v>1613</v>
      </c>
      <c r="AB31" s="7">
        <v>512</v>
      </c>
      <c r="AC31" s="6">
        <v>690</v>
      </c>
      <c r="AD31" s="7">
        <v>0</v>
      </c>
      <c r="AE31" s="6">
        <v>159</v>
      </c>
      <c r="AF31" s="7">
        <v>32</v>
      </c>
      <c r="AG31" s="6">
        <v>4008</v>
      </c>
      <c r="AH31" s="7">
        <v>1177</v>
      </c>
      <c r="AI31" s="6">
        <v>503</v>
      </c>
    </row>
    <row r="32" spans="1:35" ht="17.850000000000001" customHeight="1">
      <c r="A32" s="4"/>
      <c r="B32" s="5" t="s">
        <v>68</v>
      </c>
      <c r="C32" s="6">
        <v>16</v>
      </c>
      <c r="D32" s="7">
        <v>2410</v>
      </c>
      <c r="E32" s="6">
        <v>1007</v>
      </c>
      <c r="F32" s="7">
        <v>194</v>
      </c>
      <c r="G32" s="6">
        <v>433</v>
      </c>
      <c r="H32" s="7">
        <v>10</v>
      </c>
      <c r="I32" s="6">
        <v>31</v>
      </c>
      <c r="J32" s="7">
        <v>0</v>
      </c>
      <c r="K32" s="6">
        <v>0</v>
      </c>
      <c r="L32" s="7">
        <v>2968</v>
      </c>
      <c r="M32" s="6">
        <v>69</v>
      </c>
      <c r="N32" s="7">
        <v>235</v>
      </c>
      <c r="O32" s="6">
        <v>176</v>
      </c>
      <c r="P32" s="7">
        <v>440</v>
      </c>
      <c r="Q32" s="6">
        <v>105</v>
      </c>
      <c r="R32" s="7">
        <v>67</v>
      </c>
      <c r="S32" s="6">
        <v>1237</v>
      </c>
      <c r="T32" s="7">
        <v>111</v>
      </c>
      <c r="U32" s="6">
        <v>19</v>
      </c>
      <c r="V32" s="7">
        <v>3</v>
      </c>
      <c r="W32" s="6">
        <v>386</v>
      </c>
      <c r="X32" s="7">
        <v>309</v>
      </c>
      <c r="Y32" s="6">
        <v>38</v>
      </c>
      <c r="Z32" s="7">
        <v>669</v>
      </c>
      <c r="AA32" s="6">
        <v>2146</v>
      </c>
      <c r="AB32" s="7">
        <v>808</v>
      </c>
      <c r="AC32" s="6">
        <v>924</v>
      </c>
      <c r="AD32" s="7">
        <v>0</v>
      </c>
      <c r="AE32" s="6">
        <v>228</v>
      </c>
      <c r="AF32" s="7">
        <v>58</v>
      </c>
      <c r="AG32" s="6">
        <v>4522</v>
      </c>
      <c r="AH32" s="7">
        <v>1978</v>
      </c>
      <c r="AI32" s="6">
        <v>1001</v>
      </c>
    </row>
    <row r="33" spans="1:35" ht="17.850000000000001" customHeight="1">
      <c r="A33" s="4"/>
      <c r="B33" s="5" t="s">
        <v>65</v>
      </c>
      <c r="C33" s="6">
        <v>0</v>
      </c>
      <c r="D33" s="7">
        <v>7</v>
      </c>
      <c r="E33" s="6">
        <v>10</v>
      </c>
      <c r="F33" s="7">
        <v>0</v>
      </c>
      <c r="G33" s="6">
        <v>0</v>
      </c>
      <c r="H33" s="7">
        <v>0</v>
      </c>
      <c r="I33" s="6">
        <v>0</v>
      </c>
      <c r="J33" s="7">
        <v>0</v>
      </c>
      <c r="K33" s="6">
        <v>0</v>
      </c>
      <c r="L33" s="7">
        <v>13</v>
      </c>
      <c r="M33" s="6">
        <v>1</v>
      </c>
      <c r="N33" s="7">
        <v>2</v>
      </c>
      <c r="O33" s="6">
        <v>20</v>
      </c>
      <c r="P33" s="7">
        <v>4</v>
      </c>
      <c r="Q33" s="6">
        <v>2</v>
      </c>
      <c r="R33" s="7">
        <v>2</v>
      </c>
      <c r="S33" s="6">
        <v>5</v>
      </c>
      <c r="T33" s="7">
        <v>0</v>
      </c>
      <c r="U33" s="6">
        <v>0</v>
      </c>
      <c r="V33" s="7">
        <v>0</v>
      </c>
      <c r="W33" s="6">
        <v>7</v>
      </c>
      <c r="X33" s="7">
        <v>3</v>
      </c>
      <c r="Y33" s="6">
        <v>1</v>
      </c>
      <c r="Z33" s="7">
        <v>5</v>
      </c>
      <c r="AA33" s="6">
        <v>5</v>
      </c>
      <c r="AB33" s="7">
        <v>4</v>
      </c>
      <c r="AC33" s="6">
        <v>8</v>
      </c>
      <c r="AD33" s="7">
        <v>0</v>
      </c>
      <c r="AE33" s="6">
        <v>20</v>
      </c>
      <c r="AF33" s="7">
        <v>0</v>
      </c>
      <c r="AG33" s="6">
        <v>15</v>
      </c>
      <c r="AH33" s="7">
        <v>3</v>
      </c>
      <c r="AI33" s="6">
        <v>21</v>
      </c>
    </row>
    <row r="34" spans="1:35" ht="17.850000000000001" customHeight="1">
      <c r="A34" s="37"/>
      <c r="B34" s="31" t="s">
        <v>60</v>
      </c>
      <c r="C34" s="15">
        <v>52</v>
      </c>
      <c r="D34" s="16">
        <v>7180</v>
      </c>
      <c r="E34" s="15">
        <v>4108</v>
      </c>
      <c r="F34" s="16">
        <v>665</v>
      </c>
      <c r="G34" s="15">
        <v>1090</v>
      </c>
      <c r="H34" s="16">
        <v>69</v>
      </c>
      <c r="I34" s="15">
        <v>308</v>
      </c>
      <c r="J34" s="16">
        <v>7</v>
      </c>
      <c r="K34" s="15">
        <v>0</v>
      </c>
      <c r="L34" s="16">
        <v>8936</v>
      </c>
      <c r="M34" s="15">
        <v>210</v>
      </c>
      <c r="N34" s="16">
        <v>1787</v>
      </c>
      <c r="O34" s="15">
        <v>1194</v>
      </c>
      <c r="P34" s="16">
        <v>1560</v>
      </c>
      <c r="Q34" s="15">
        <v>1312</v>
      </c>
      <c r="R34" s="16">
        <v>472</v>
      </c>
      <c r="S34" s="15">
        <v>4724</v>
      </c>
      <c r="T34" s="16">
        <v>357</v>
      </c>
      <c r="U34" s="15">
        <v>89</v>
      </c>
      <c r="V34" s="16">
        <v>8</v>
      </c>
      <c r="W34" s="15">
        <v>1584</v>
      </c>
      <c r="X34" s="16">
        <v>954</v>
      </c>
      <c r="Y34" s="15">
        <v>167</v>
      </c>
      <c r="Z34" s="16">
        <v>3183</v>
      </c>
      <c r="AA34" s="15">
        <v>6076</v>
      </c>
      <c r="AB34" s="16">
        <v>2151</v>
      </c>
      <c r="AC34" s="15">
        <v>3344</v>
      </c>
      <c r="AD34" s="16">
        <v>0</v>
      </c>
      <c r="AE34" s="15">
        <v>691</v>
      </c>
      <c r="AF34" s="16">
        <v>147</v>
      </c>
      <c r="AG34" s="15">
        <v>13667</v>
      </c>
      <c r="AH34" s="16">
        <v>6476</v>
      </c>
      <c r="AI34" s="15">
        <v>2462</v>
      </c>
    </row>
    <row r="35" spans="1:35" ht="6.75" customHeight="1">
      <c r="A35" s="4"/>
      <c r="B35" s="34"/>
      <c r="C35" s="36"/>
      <c r="D35" s="36"/>
      <c r="E35" s="36"/>
      <c r="F35" s="36"/>
      <c r="G35" s="36"/>
      <c r="H35" s="36"/>
      <c r="I35" s="36"/>
      <c r="J35" s="36"/>
      <c r="K35" s="36"/>
      <c r="L35" s="36"/>
    </row>
    <row r="36" spans="1:35" ht="14.25" customHeight="1">
      <c r="A36" s="4" t="s">
        <v>126</v>
      </c>
      <c r="B36" s="34"/>
      <c r="C36" s="36"/>
      <c r="D36" s="36"/>
      <c r="E36" s="36"/>
      <c r="F36" s="36"/>
      <c r="G36" s="36"/>
      <c r="H36" s="36"/>
      <c r="I36" s="36"/>
      <c r="J36" s="36"/>
      <c r="K36" s="36"/>
      <c r="L36" s="36"/>
    </row>
    <row r="37" spans="1:35" ht="6.75" customHeight="1">
      <c r="A37" s="4"/>
      <c r="B37" s="34"/>
      <c r="C37" s="36"/>
      <c r="D37" s="36"/>
      <c r="E37" s="36"/>
      <c r="F37" s="36"/>
      <c r="G37" s="36"/>
      <c r="H37" s="36"/>
      <c r="I37" s="36"/>
      <c r="J37" s="36"/>
      <c r="K37" s="36"/>
      <c r="L37" s="36"/>
    </row>
    <row r="38" spans="1:35" ht="50.25" customHeight="1">
      <c r="A38" s="149" t="s">
        <v>131</v>
      </c>
      <c r="B38" s="149"/>
      <c r="C38" s="149"/>
      <c r="D38" s="149"/>
      <c r="E38" s="149"/>
      <c r="F38" s="149"/>
      <c r="G38" s="149"/>
      <c r="H38" s="149"/>
      <c r="I38" s="149"/>
      <c r="J38" s="149"/>
      <c r="K38" s="149"/>
      <c r="L38" s="149"/>
      <c r="M38" s="149"/>
      <c r="N38" s="149"/>
      <c r="O38" s="149"/>
    </row>
    <row r="39" spans="1:35" ht="43.5" customHeight="1">
      <c r="A39" s="149" t="s">
        <v>196</v>
      </c>
      <c r="B39" s="149"/>
      <c r="C39" s="149"/>
      <c r="D39" s="149"/>
      <c r="E39" s="149"/>
      <c r="F39" s="149"/>
      <c r="G39" s="149"/>
      <c r="H39" s="149"/>
      <c r="I39" s="149"/>
      <c r="J39" s="149"/>
      <c r="K39" s="149"/>
      <c r="L39" s="149"/>
      <c r="M39" s="149"/>
      <c r="N39" s="149"/>
      <c r="O39" s="149"/>
    </row>
    <row r="40" spans="1:35">
      <c r="A40" s="72" t="s">
        <v>125</v>
      </c>
    </row>
    <row r="41" spans="1:35" ht="14.25">
      <c r="A41" s="72" t="s">
        <v>118</v>
      </c>
    </row>
    <row r="43" spans="1:35">
      <c r="A43" s="26" t="s">
        <v>38</v>
      </c>
    </row>
    <row r="44" spans="1:35">
      <c r="A44" s="26" t="s">
        <v>37</v>
      </c>
    </row>
    <row r="45" spans="1:35">
      <c r="A45" s="4"/>
    </row>
    <row r="46" spans="1:35">
      <c r="A46"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A38:O38"/>
    <mergeCell ref="A39:O39"/>
  </mergeCells>
  <hyperlinks>
    <hyperlink ref="G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H35"/>
  <sheetViews>
    <sheetView workbookViewId="0">
      <selection activeCell="A2" sqref="A2"/>
    </sheetView>
  </sheetViews>
  <sheetFormatPr defaultColWidth="9.140625" defaultRowHeight="15"/>
  <cols>
    <col min="1" max="1" width="13.7109375" style="76" customWidth="1"/>
    <col min="2" max="12" width="12.28515625" style="76" customWidth="1"/>
    <col min="13" max="29" width="11.140625" style="76" customWidth="1"/>
    <col min="30" max="30" width="11.85546875" style="76" customWidth="1"/>
    <col min="31" max="34" width="11.140625" style="76" customWidth="1"/>
    <col min="35" max="16384" width="9.140625" style="76"/>
  </cols>
  <sheetData>
    <row r="1" spans="1:34" ht="20.25">
      <c r="A1" s="2" t="s">
        <v>217</v>
      </c>
      <c r="B1" s="75"/>
      <c r="C1" s="75"/>
      <c r="D1" s="75"/>
      <c r="E1" s="75"/>
      <c r="F1" s="75"/>
      <c r="I1" s="111" t="s">
        <v>124</v>
      </c>
      <c r="J1" s="75"/>
      <c r="K1" s="75"/>
    </row>
    <row r="2" spans="1:34">
      <c r="A2" s="75"/>
      <c r="B2" s="75"/>
      <c r="C2" s="75"/>
      <c r="D2" s="75"/>
      <c r="E2" s="75"/>
      <c r="F2" s="75"/>
      <c r="G2" s="75"/>
      <c r="H2" s="75"/>
      <c r="I2" s="75"/>
      <c r="J2" s="75"/>
      <c r="K2" s="75"/>
    </row>
    <row r="3" spans="1:34" ht="18">
      <c r="A3" s="77" t="s">
        <v>141</v>
      </c>
      <c r="B3" s="78"/>
      <c r="C3" s="78"/>
      <c r="D3" s="78"/>
      <c r="E3" s="78"/>
      <c r="F3" s="78"/>
      <c r="G3" s="78"/>
      <c r="H3" s="78"/>
      <c r="I3" s="78"/>
      <c r="J3" s="78"/>
      <c r="K3" s="78"/>
    </row>
    <row r="4" spans="1:34" ht="18">
      <c r="A4" s="77" t="s">
        <v>208</v>
      </c>
      <c r="B4" s="78"/>
      <c r="C4" s="78"/>
      <c r="D4" s="78"/>
      <c r="E4" s="78"/>
      <c r="F4" s="78"/>
      <c r="G4" s="78"/>
      <c r="H4" s="78"/>
      <c r="I4" s="78"/>
      <c r="J4" s="78"/>
      <c r="K4" s="78"/>
    </row>
    <row r="5" spans="1:34">
      <c r="B5" s="78"/>
      <c r="C5" s="78"/>
      <c r="D5" s="78"/>
      <c r="E5" s="78"/>
      <c r="F5" s="78"/>
      <c r="G5" s="78"/>
      <c r="H5" s="78"/>
      <c r="I5" s="78"/>
      <c r="J5" s="78"/>
      <c r="K5" s="78"/>
    </row>
    <row r="6" spans="1:34" ht="64.5">
      <c r="A6" s="79" t="s">
        <v>143</v>
      </c>
      <c r="B6" s="80" t="s">
        <v>134</v>
      </c>
      <c r="C6" s="81" t="s">
        <v>129</v>
      </c>
      <c r="D6" s="80" t="s">
        <v>130</v>
      </c>
      <c r="E6" s="82" t="s">
        <v>13</v>
      </c>
      <c r="F6" s="80" t="s">
        <v>39</v>
      </c>
      <c r="G6" s="82" t="s">
        <v>14</v>
      </c>
      <c r="H6" s="80" t="s">
        <v>40</v>
      </c>
      <c r="I6" s="82" t="s">
        <v>15</v>
      </c>
      <c r="J6" s="80" t="s">
        <v>195</v>
      </c>
      <c r="K6" s="82" t="s">
        <v>135</v>
      </c>
      <c r="L6" s="80" t="s">
        <v>16</v>
      </c>
      <c r="M6" s="82" t="s">
        <v>4</v>
      </c>
      <c r="N6" s="80" t="s">
        <v>5</v>
      </c>
      <c r="O6" s="81" t="s">
        <v>17</v>
      </c>
      <c r="P6" s="80" t="s">
        <v>6</v>
      </c>
      <c r="Q6" s="81" t="s">
        <v>7</v>
      </c>
      <c r="R6" s="80" t="s">
        <v>8</v>
      </c>
      <c r="S6" s="81" t="s">
        <v>9</v>
      </c>
      <c r="T6" s="80" t="s">
        <v>10</v>
      </c>
      <c r="U6" s="81" t="s">
        <v>18</v>
      </c>
      <c r="V6" s="80" t="s">
        <v>11</v>
      </c>
      <c r="W6" s="81" t="s">
        <v>19</v>
      </c>
      <c r="X6" s="80" t="s">
        <v>20</v>
      </c>
      <c r="Y6" s="81" t="s">
        <v>12</v>
      </c>
      <c r="Z6" s="80" t="s">
        <v>21</v>
      </c>
      <c r="AA6" s="81" t="s">
        <v>22</v>
      </c>
      <c r="AB6" s="80" t="s">
        <v>23</v>
      </c>
      <c r="AC6" s="81" t="s">
        <v>26</v>
      </c>
      <c r="AD6" s="80" t="s">
        <v>27</v>
      </c>
      <c r="AE6" s="81" t="s">
        <v>28</v>
      </c>
      <c r="AF6" s="80" t="s">
        <v>29</v>
      </c>
      <c r="AG6" s="81" t="s">
        <v>31</v>
      </c>
      <c r="AH6" s="80" t="s">
        <v>32</v>
      </c>
    </row>
    <row r="7" spans="1:34">
      <c r="A7" s="83" t="s">
        <v>144</v>
      </c>
      <c r="B7" s="84">
        <v>26</v>
      </c>
      <c r="C7" s="85">
        <v>2618</v>
      </c>
      <c r="D7" s="84">
        <v>1799</v>
      </c>
      <c r="E7" s="85">
        <v>304</v>
      </c>
      <c r="F7" s="84">
        <v>239</v>
      </c>
      <c r="G7" s="85">
        <v>24</v>
      </c>
      <c r="H7" s="84">
        <v>203</v>
      </c>
      <c r="I7" s="85">
        <v>2</v>
      </c>
      <c r="J7" s="84">
        <v>0</v>
      </c>
      <c r="K7" s="85">
        <v>3659</v>
      </c>
      <c r="L7" s="84">
        <v>78</v>
      </c>
      <c r="M7" s="85">
        <v>1218</v>
      </c>
      <c r="N7" s="84">
        <v>705</v>
      </c>
      <c r="O7" s="85">
        <v>687</v>
      </c>
      <c r="P7" s="84">
        <v>848</v>
      </c>
      <c r="Q7" s="85">
        <v>246</v>
      </c>
      <c r="R7" s="84">
        <v>2335</v>
      </c>
      <c r="S7" s="85">
        <v>177</v>
      </c>
      <c r="T7" s="84">
        <v>56</v>
      </c>
      <c r="U7" s="85">
        <v>2</v>
      </c>
      <c r="V7" s="84">
        <v>632</v>
      </c>
      <c r="W7" s="85">
        <v>404</v>
      </c>
      <c r="X7" s="84">
        <v>75</v>
      </c>
      <c r="Y7" s="85">
        <v>1316</v>
      </c>
      <c r="Z7" s="84">
        <v>1742</v>
      </c>
      <c r="AA7" s="85">
        <v>727</v>
      </c>
      <c r="AB7" s="84">
        <v>1598</v>
      </c>
      <c r="AC7" s="85">
        <v>0</v>
      </c>
      <c r="AD7" s="84">
        <v>114</v>
      </c>
      <c r="AE7" s="85">
        <v>25</v>
      </c>
      <c r="AF7" s="84">
        <v>6369</v>
      </c>
      <c r="AG7" s="85">
        <v>1381</v>
      </c>
      <c r="AH7" s="84">
        <v>530</v>
      </c>
    </row>
    <row r="8" spans="1:34" ht="15" customHeight="1">
      <c r="A8" s="83" t="s">
        <v>146</v>
      </c>
      <c r="B8" s="84">
        <v>26</v>
      </c>
      <c r="C8" s="85">
        <v>4552</v>
      </c>
      <c r="D8" s="84">
        <v>2292</v>
      </c>
      <c r="E8" s="85">
        <v>360</v>
      </c>
      <c r="F8" s="84">
        <v>845</v>
      </c>
      <c r="G8" s="85">
        <v>45</v>
      </c>
      <c r="H8" s="84">
        <v>104</v>
      </c>
      <c r="I8" s="85">
        <v>5</v>
      </c>
      <c r="J8" s="84">
        <v>0</v>
      </c>
      <c r="K8" s="85">
        <v>5269</v>
      </c>
      <c r="L8" s="84">
        <v>131</v>
      </c>
      <c r="M8" s="85">
        <v>568</v>
      </c>
      <c r="N8" s="84">
        <v>487</v>
      </c>
      <c r="O8" s="85">
        <v>873</v>
      </c>
      <c r="P8" s="84">
        <v>462</v>
      </c>
      <c r="Q8" s="85">
        <v>225</v>
      </c>
      <c r="R8" s="84">
        <v>2384</v>
      </c>
      <c r="S8" s="85">
        <v>180</v>
      </c>
      <c r="T8" s="84">
        <v>33</v>
      </c>
      <c r="U8" s="85">
        <v>6</v>
      </c>
      <c r="V8" s="84">
        <v>948</v>
      </c>
      <c r="W8" s="85">
        <v>546</v>
      </c>
      <c r="X8" s="84">
        <v>92</v>
      </c>
      <c r="Y8" s="85">
        <v>1860</v>
      </c>
      <c r="Z8" s="84">
        <v>4318</v>
      </c>
      <c r="AA8" s="85">
        <v>1419</v>
      </c>
      <c r="AB8" s="84">
        <v>1741</v>
      </c>
      <c r="AC8" s="85">
        <v>0</v>
      </c>
      <c r="AD8" s="84">
        <v>552</v>
      </c>
      <c r="AE8" s="85">
        <v>119</v>
      </c>
      <c r="AF8" s="84">
        <v>7294</v>
      </c>
      <c r="AG8" s="85">
        <v>4556</v>
      </c>
      <c r="AH8" s="84">
        <v>1837</v>
      </c>
    </row>
    <row r="9" spans="1:34">
      <c r="A9" s="83" t="s">
        <v>59</v>
      </c>
      <c r="B9" s="84">
        <v>0</v>
      </c>
      <c r="C9" s="85">
        <v>10</v>
      </c>
      <c r="D9" s="84">
        <v>17</v>
      </c>
      <c r="E9" s="85">
        <v>1</v>
      </c>
      <c r="F9" s="84">
        <v>6</v>
      </c>
      <c r="G9" s="85">
        <v>0</v>
      </c>
      <c r="H9" s="84">
        <v>1</v>
      </c>
      <c r="I9" s="85">
        <v>0</v>
      </c>
      <c r="J9" s="84">
        <v>0</v>
      </c>
      <c r="K9" s="85">
        <v>8</v>
      </c>
      <c r="L9" s="84">
        <v>1</v>
      </c>
      <c r="M9" s="85">
        <v>1</v>
      </c>
      <c r="N9" s="84">
        <v>2</v>
      </c>
      <c r="O9" s="85">
        <v>0</v>
      </c>
      <c r="P9" s="84">
        <v>2</v>
      </c>
      <c r="Q9" s="85">
        <v>1</v>
      </c>
      <c r="R9" s="84">
        <v>5</v>
      </c>
      <c r="S9" s="85">
        <v>0</v>
      </c>
      <c r="T9" s="84">
        <v>0</v>
      </c>
      <c r="U9" s="85">
        <v>0</v>
      </c>
      <c r="V9" s="84">
        <v>4</v>
      </c>
      <c r="W9" s="85">
        <v>4</v>
      </c>
      <c r="X9" s="84">
        <v>0</v>
      </c>
      <c r="Y9" s="85">
        <v>7</v>
      </c>
      <c r="Z9" s="84">
        <v>16</v>
      </c>
      <c r="AA9" s="85">
        <v>5</v>
      </c>
      <c r="AB9" s="84">
        <v>5</v>
      </c>
      <c r="AC9" s="85">
        <v>0</v>
      </c>
      <c r="AD9" s="84">
        <v>25</v>
      </c>
      <c r="AE9" s="85">
        <v>3</v>
      </c>
      <c r="AF9" s="84">
        <v>4</v>
      </c>
      <c r="AG9" s="85">
        <v>539</v>
      </c>
      <c r="AH9" s="84">
        <v>95</v>
      </c>
    </row>
    <row r="10" spans="1:34" ht="15.75" thickBot="1">
      <c r="A10" s="86" t="s">
        <v>60</v>
      </c>
      <c r="B10" s="87">
        <v>52</v>
      </c>
      <c r="C10" s="88">
        <v>7180</v>
      </c>
      <c r="D10" s="87">
        <v>4108</v>
      </c>
      <c r="E10" s="88">
        <v>665</v>
      </c>
      <c r="F10" s="87">
        <v>1090</v>
      </c>
      <c r="G10" s="88">
        <v>69</v>
      </c>
      <c r="H10" s="87">
        <v>308</v>
      </c>
      <c r="I10" s="88">
        <v>7</v>
      </c>
      <c r="J10" s="87">
        <v>0</v>
      </c>
      <c r="K10" s="88">
        <v>8936</v>
      </c>
      <c r="L10" s="87">
        <v>210</v>
      </c>
      <c r="M10" s="88">
        <v>1787</v>
      </c>
      <c r="N10" s="87">
        <v>1194</v>
      </c>
      <c r="O10" s="88">
        <v>1560</v>
      </c>
      <c r="P10" s="87">
        <v>1312</v>
      </c>
      <c r="Q10" s="88">
        <v>472</v>
      </c>
      <c r="R10" s="87">
        <v>4724</v>
      </c>
      <c r="S10" s="88">
        <v>357</v>
      </c>
      <c r="T10" s="87">
        <v>89</v>
      </c>
      <c r="U10" s="88">
        <v>8</v>
      </c>
      <c r="V10" s="87">
        <v>1584</v>
      </c>
      <c r="W10" s="88">
        <v>954</v>
      </c>
      <c r="X10" s="87">
        <v>167</v>
      </c>
      <c r="Y10" s="88">
        <v>3183</v>
      </c>
      <c r="Z10" s="87">
        <v>6076</v>
      </c>
      <c r="AA10" s="88">
        <v>2151</v>
      </c>
      <c r="AB10" s="87">
        <v>3344</v>
      </c>
      <c r="AC10" s="88">
        <v>0</v>
      </c>
      <c r="AD10" s="87">
        <v>691</v>
      </c>
      <c r="AE10" s="88">
        <v>147</v>
      </c>
      <c r="AF10" s="87">
        <v>13667</v>
      </c>
      <c r="AG10" s="88">
        <v>6476</v>
      </c>
      <c r="AH10" s="87">
        <v>2462</v>
      </c>
    </row>
    <row r="12" spans="1:34" ht="15" customHeight="1">
      <c r="A12" s="150" t="s">
        <v>132</v>
      </c>
      <c r="B12" s="150"/>
      <c r="C12" s="150"/>
      <c r="D12" s="150"/>
      <c r="E12" s="150"/>
      <c r="F12" s="150"/>
      <c r="G12" s="150"/>
      <c r="H12" s="150"/>
      <c r="I12" s="150"/>
      <c r="J12" s="150"/>
      <c r="K12" s="150"/>
      <c r="L12" s="150"/>
      <c r="M12" s="150"/>
      <c r="N12" s="114"/>
    </row>
    <row r="13" spans="1:34" ht="15" customHeight="1">
      <c r="A13" s="150" t="s">
        <v>133</v>
      </c>
      <c r="B13" s="150"/>
      <c r="C13" s="150"/>
      <c r="D13" s="150"/>
      <c r="E13" s="150"/>
      <c r="F13" s="150"/>
      <c r="G13" s="150"/>
      <c r="H13" s="150"/>
      <c r="I13" s="150"/>
      <c r="J13" s="150"/>
      <c r="K13" s="150"/>
      <c r="L13" s="150"/>
      <c r="M13" s="150"/>
      <c r="N13" s="114"/>
    </row>
    <row r="14" spans="1:34">
      <c r="A14" s="4" t="s">
        <v>128</v>
      </c>
    </row>
    <row r="15" spans="1:34" s="90" customFormat="1" ht="12">
      <c r="A15" s="89" t="s">
        <v>125</v>
      </c>
    </row>
    <row r="16" spans="1:34" s="90" customFormat="1" ht="13.5">
      <c r="A16" s="89" t="s">
        <v>122</v>
      </c>
    </row>
    <row r="18" spans="1:12" ht="18">
      <c r="A18" s="91" t="s">
        <v>142</v>
      </c>
      <c r="B18" s="92"/>
      <c r="C18" s="92"/>
      <c r="D18" s="92"/>
      <c r="E18" s="92"/>
      <c r="F18" s="92"/>
    </row>
    <row r="19" spans="1:12" ht="18">
      <c r="A19" s="91" t="str">
        <f>A4</f>
        <v>NSW Regional</v>
      </c>
      <c r="B19" s="92"/>
      <c r="C19" s="92"/>
      <c r="D19" s="92"/>
      <c r="E19" s="92"/>
      <c r="F19" s="92"/>
    </row>
    <row r="20" spans="1:12">
      <c r="B20" s="93"/>
      <c r="C20" s="93"/>
      <c r="D20" s="93"/>
      <c r="E20" s="93"/>
    </row>
    <row r="21" spans="1:12" ht="64.5">
      <c r="A21" s="79" t="s">
        <v>145</v>
      </c>
      <c r="B21" s="94" t="s">
        <v>134</v>
      </c>
      <c r="C21" s="95" t="s">
        <v>129</v>
      </c>
      <c r="D21" s="96" t="s">
        <v>130</v>
      </c>
      <c r="E21" s="97" t="s">
        <v>39</v>
      </c>
      <c r="F21" s="94" t="s">
        <v>14</v>
      </c>
      <c r="G21" s="95" t="s">
        <v>40</v>
      </c>
      <c r="H21" s="94" t="s">
        <v>15</v>
      </c>
      <c r="I21" s="95" t="s">
        <v>135</v>
      </c>
      <c r="J21" s="94" t="s">
        <v>16</v>
      </c>
      <c r="K21" s="95" t="s">
        <v>20</v>
      </c>
      <c r="L21" s="94" t="s">
        <v>30</v>
      </c>
    </row>
    <row r="22" spans="1:12">
      <c r="A22" s="83" t="s">
        <v>144</v>
      </c>
      <c r="B22" s="98">
        <v>6</v>
      </c>
      <c r="C22" s="99">
        <v>5949</v>
      </c>
      <c r="D22" s="98">
        <v>2886</v>
      </c>
      <c r="E22" s="99">
        <v>2060</v>
      </c>
      <c r="F22" s="98">
        <v>35</v>
      </c>
      <c r="G22" s="99">
        <v>90</v>
      </c>
      <c r="H22" s="98">
        <v>22</v>
      </c>
      <c r="I22" s="99">
        <v>5647</v>
      </c>
      <c r="J22" s="98">
        <v>154</v>
      </c>
      <c r="K22" s="99">
        <v>222</v>
      </c>
      <c r="L22" s="98">
        <v>5019</v>
      </c>
    </row>
    <row r="23" spans="1:12">
      <c r="A23" s="83" t="s">
        <v>146</v>
      </c>
      <c r="B23" s="100">
        <v>29</v>
      </c>
      <c r="C23" s="101">
        <v>13554</v>
      </c>
      <c r="D23" s="100">
        <v>12466</v>
      </c>
      <c r="E23" s="101">
        <v>7076</v>
      </c>
      <c r="F23" s="100">
        <v>65</v>
      </c>
      <c r="G23" s="101">
        <v>536</v>
      </c>
      <c r="H23" s="100">
        <v>322</v>
      </c>
      <c r="I23" s="101">
        <v>19905</v>
      </c>
      <c r="J23" s="100">
        <v>650</v>
      </c>
      <c r="K23" s="101">
        <v>1305</v>
      </c>
      <c r="L23" s="100">
        <v>10037</v>
      </c>
    </row>
    <row r="24" spans="1:12">
      <c r="A24" s="83" t="s">
        <v>59</v>
      </c>
      <c r="B24" s="100">
        <v>2</v>
      </c>
      <c r="C24" s="101">
        <v>67</v>
      </c>
      <c r="D24" s="100">
        <v>188</v>
      </c>
      <c r="E24" s="101">
        <v>452</v>
      </c>
      <c r="F24" s="100">
        <v>1</v>
      </c>
      <c r="G24" s="101">
        <v>68</v>
      </c>
      <c r="H24" s="100">
        <v>19</v>
      </c>
      <c r="I24" s="101">
        <v>180</v>
      </c>
      <c r="J24" s="100">
        <v>23</v>
      </c>
      <c r="K24" s="101">
        <v>1219</v>
      </c>
      <c r="L24" s="100">
        <v>137</v>
      </c>
    </row>
    <row r="25" spans="1:12" ht="15.75" thickBot="1">
      <c r="A25" s="86" t="s">
        <v>60</v>
      </c>
      <c r="B25" s="102">
        <v>37</v>
      </c>
      <c r="C25" s="103">
        <v>19570</v>
      </c>
      <c r="D25" s="102">
        <v>15540</v>
      </c>
      <c r="E25" s="103">
        <v>9588</v>
      </c>
      <c r="F25" s="102">
        <v>101</v>
      </c>
      <c r="G25" s="103">
        <v>694</v>
      </c>
      <c r="H25" s="102">
        <v>363</v>
      </c>
      <c r="I25" s="103">
        <v>25732</v>
      </c>
      <c r="J25" s="102">
        <v>827</v>
      </c>
      <c r="K25" s="103">
        <v>2746</v>
      </c>
      <c r="L25" s="102">
        <v>15193</v>
      </c>
    </row>
    <row r="26" spans="1:12">
      <c r="A26" s="104"/>
      <c r="B26" s="105"/>
      <c r="C26" s="106"/>
      <c r="D26" s="106"/>
      <c r="E26" s="106"/>
    </row>
    <row r="27" spans="1:12">
      <c r="A27" s="107" t="s">
        <v>127</v>
      </c>
      <c r="B27" s="108"/>
      <c r="C27" s="108"/>
      <c r="D27" s="108"/>
      <c r="E27" s="108"/>
    </row>
    <row r="28" spans="1:12">
      <c r="A28" s="109"/>
    </row>
    <row r="29" spans="1:12">
      <c r="A29" s="107" t="s">
        <v>116</v>
      </c>
    </row>
    <row r="30" spans="1:12">
      <c r="A30" s="107" t="s">
        <v>113</v>
      </c>
    </row>
    <row r="32" spans="1:12">
      <c r="A32" s="26" t="s">
        <v>38</v>
      </c>
    </row>
    <row r="33" spans="1:1">
      <c r="A33" s="26" t="s">
        <v>37</v>
      </c>
    </row>
    <row r="34" spans="1:1">
      <c r="A34" s="4"/>
    </row>
    <row r="35" spans="1:1">
      <c r="A35"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A12:M12"/>
    <mergeCell ref="A13:M13"/>
  </mergeCells>
  <hyperlinks>
    <hyperlink ref="I1" r:id="rId1" xr:uid="{AC5FA678-4F46-45AA-B795-CDC1D3746919}"/>
  </hyperlinks>
  <pageMargins left="0.70866141732283472" right="0.70866141732283472" top="0.74803149606299213" bottom="0.74803149606299213" header="0.31496062992125984" footer="0.31496062992125984"/>
  <pageSetup paperSize="9" scale="65" fitToWidth="0" orientation="landscape" r:id="rId2"/>
  <headerFooter>
    <oddFooter>&amp;CSource: NSW Bureau of Crime Statistics and Research, www.bocsar.nsw.gov.au&amp;RPlease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33.85546875" customWidth="1"/>
    <col min="2" max="2" width="6.42578125" customWidth="1"/>
    <col min="3" max="3" width="14.42578125" customWidth="1"/>
    <col min="4" max="4" width="20.28515625" customWidth="1"/>
    <col min="5" max="5" width="13" customWidth="1"/>
    <col min="6" max="6" width="20.85546875" customWidth="1"/>
  </cols>
  <sheetData>
    <row r="1" spans="1:7" ht="20.25">
      <c r="A1" s="2" t="s">
        <v>214</v>
      </c>
      <c r="G1" s="111" t="s">
        <v>124</v>
      </c>
    </row>
    <row r="3" spans="1:7" ht="17.649999999999999" customHeight="1">
      <c r="A3" s="54" t="s">
        <v>100</v>
      </c>
    </row>
    <row r="4" spans="1:7">
      <c r="B4" s="35"/>
      <c r="C4" s="35"/>
      <c r="D4" s="35"/>
      <c r="E4" s="35"/>
      <c r="F4" s="39"/>
      <c r="G4" s="39"/>
    </row>
    <row r="5" spans="1:7" ht="17.649999999999999" customHeight="1">
      <c r="A5" s="54" t="s">
        <v>208</v>
      </c>
      <c r="B5" s="35"/>
      <c r="C5" s="35"/>
      <c r="D5" s="35"/>
      <c r="E5" s="35"/>
      <c r="F5" s="39"/>
      <c r="G5" s="39"/>
    </row>
    <row r="6" spans="1:7" ht="17.850000000000001" customHeight="1">
      <c r="A6" s="45" t="s">
        <v>69</v>
      </c>
      <c r="B6" s="110" t="s">
        <v>123</v>
      </c>
      <c r="C6" s="64" t="s">
        <v>70</v>
      </c>
      <c r="D6" s="46" t="s">
        <v>71</v>
      </c>
      <c r="E6" s="65" t="s">
        <v>60</v>
      </c>
      <c r="F6" s="39"/>
      <c r="G6" s="39"/>
    </row>
    <row r="7" spans="1:7" ht="17.850000000000001" customHeight="1">
      <c r="A7" s="19" t="s">
        <v>134</v>
      </c>
      <c r="B7" s="19" t="s">
        <v>72</v>
      </c>
      <c r="C7" s="20">
        <v>7</v>
      </c>
      <c r="D7" s="21">
        <v>30</v>
      </c>
      <c r="E7" s="20">
        <v>37</v>
      </c>
      <c r="F7" s="39"/>
      <c r="G7" s="39"/>
    </row>
    <row r="8" spans="1:7" ht="17.850000000000001" customHeight="1">
      <c r="A8" s="3"/>
      <c r="B8" s="3" t="s">
        <v>73</v>
      </c>
      <c r="C8" s="10">
        <v>18.918900000000001</v>
      </c>
      <c r="D8" s="12">
        <v>81.081100000000006</v>
      </c>
      <c r="E8" s="10">
        <v>100</v>
      </c>
      <c r="F8" s="39"/>
      <c r="G8" s="39"/>
    </row>
    <row r="9" spans="1:7" ht="17.850000000000001" customHeight="1">
      <c r="A9" s="5" t="s">
        <v>129</v>
      </c>
      <c r="B9" s="5" t="s">
        <v>72</v>
      </c>
      <c r="C9" s="20">
        <v>4909</v>
      </c>
      <c r="D9" s="21">
        <v>13110</v>
      </c>
      <c r="E9" s="20">
        <v>18019</v>
      </c>
      <c r="F9" s="39"/>
      <c r="G9" s="39"/>
    </row>
    <row r="10" spans="1:7" ht="17.850000000000001" customHeight="1">
      <c r="A10" s="5"/>
      <c r="B10" s="5" t="s">
        <v>73</v>
      </c>
      <c r="C10" s="24">
        <v>27.243500000000001</v>
      </c>
      <c r="D10" s="25">
        <v>72.756500000000003</v>
      </c>
      <c r="E10" s="24">
        <v>100</v>
      </c>
      <c r="F10" s="39"/>
      <c r="G10" s="39"/>
    </row>
    <row r="11" spans="1:7" ht="17.850000000000001" customHeight="1">
      <c r="A11" s="19" t="s">
        <v>130</v>
      </c>
      <c r="B11" s="19" t="s">
        <v>72</v>
      </c>
      <c r="C11" s="20">
        <v>3538</v>
      </c>
      <c r="D11" s="21">
        <v>10566</v>
      </c>
      <c r="E11" s="20">
        <v>14104</v>
      </c>
      <c r="F11" s="39"/>
      <c r="G11" s="39"/>
    </row>
    <row r="12" spans="1:7" ht="17.850000000000001" customHeight="1">
      <c r="A12" s="3"/>
      <c r="B12" s="3" t="s">
        <v>73</v>
      </c>
      <c r="C12" s="10">
        <v>25.085100000000001</v>
      </c>
      <c r="D12" s="12">
        <v>74.914900000000003</v>
      </c>
      <c r="E12" s="10">
        <v>100</v>
      </c>
      <c r="F12" s="39"/>
      <c r="G12" s="39"/>
    </row>
    <row r="13" spans="1:7" ht="17.850000000000001" customHeight="1">
      <c r="A13" s="5" t="s">
        <v>13</v>
      </c>
      <c r="B13" s="5" t="s">
        <v>72</v>
      </c>
      <c r="C13" s="20">
        <v>354</v>
      </c>
      <c r="D13" s="21">
        <v>694</v>
      </c>
      <c r="E13" s="20">
        <v>1048</v>
      </c>
      <c r="F13" s="39"/>
      <c r="G13" s="39"/>
    </row>
    <row r="14" spans="1:7" ht="17.850000000000001" customHeight="1">
      <c r="A14" s="5"/>
      <c r="B14" s="5" t="s">
        <v>73</v>
      </c>
      <c r="C14" s="24">
        <v>33.778599999999997</v>
      </c>
      <c r="D14" s="25">
        <v>66.221400000000003</v>
      </c>
      <c r="E14" s="24">
        <v>100</v>
      </c>
      <c r="F14" s="39"/>
      <c r="G14" s="39"/>
    </row>
    <row r="15" spans="1:7" ht="17.850000000000001" customHeight="1">
      <c r="A15" s="19" t="s">
        <v>39</v>
      </c>
      <c r="B15" s="19" t="s">
        <v>72</v>
      </c>
      <c r="C15" s="20">
        <v>899</v>
      </c>
      <c r="D15" s="21">
        <v>8497</v>
      </c>
      <c r="E15" s="20">
        <v>9396</v>
      </c>
      <c r="F15" s="39"/>
      <c r="G15" s="39"/>
    </row>
    <row r="16" spans="1:7" ht="17.850000000000001" customHeight="1">
      <c r="A16" s="3"/>
      <c r="B16" s="3" t="s">
        <v>73</v>
      </c>
      <c r="C16" s="10">
        <v>9.5678999999999998</v>
      </c>
      <c r="D16" s="12">
        <v>90.432100000000005</v>
      </c>
      <c r="E16" s="10">
        <v>100</v>
      </c>
      <c r="F16" s="39"/>
      <c r="G16" s="39"/>
    </row>
    <row r="17" spans="1:7" ht="17.850000000000001" customHeight="1">
      <c r="A17" s="5" t="s">
        <v>14</v>
      </c>
      <c r="B17" s="5" t="s">
        <v>72</v>
      </c>
      <c r="C17" s="20">
        <v>12</v>
      </c>
      <c r="D17" s="21">
        <v>80</v>
      </c>
      <c r="E17" s="20">
        <v>92</v>
      </c>
      <c r="F17" s="39"/>
      <c r="G17" s="39"/>
    </row>
    <row r="18" spans="1:7" ht="17.850000000000001" customHeight="1">
      <c r="A18" s="5"/>
      <c r="B18" s="5" t="s">
        <v>73</v>
      </c>
      <c r="C18" s="24">
        <v>13.0435</v>
      </c>
      <c r="D18" s="25">
        <v>86.956500000000005</v>
      </c>
      <c r="E18" s="24">
        <v>100</v>
      </c>
      <c r="F18" s="39"/>
      <c r="G18" s="39"/>
    </row>
    <row r="19" spans="1:7" ht="17.850000000000001" customHeight="1">
      <c r="A19" s="19" t="s">
        <v>135</v>
      </c>
      <c r="B19" s="19" t="s">
        <v>72</v>
      </c>
      <c r="C19" s="20">
        <v>3368</v>
      </c>
      <c r="D19" s="21">
        <v>20095</v>
      </c>
      <c r="E19" s="20">
        <v>23463</v>
      </c>
      <c r="F19" s="39"/>
      <c r="G19" s="39"/>
    </row>
    <row r="20" spans="1:7" ht="17.850000000000001" customHeight="1">
      <c r="A20" s="3"/>
      <c r="B20" s="3" t="s">
        <v>73</v>
      </c>
      <c r="C20" s="10">
        <v>14.3545</v>
      </c>
      <c r="D20" s="12">
        <v>85.645499999999998</v>
      </c>
      <c r="E20" s="10">
        <v>100</v>
      </c>
      <c r="F20" s="39"/>
      <c r="G20" s="39"/>
    </row>
    <row r="21" spans="1:7" ht="17.850000000000001" customHeight="1">
      <c r="A21" s="5" t="s">
        <v>24</v>
      </c>
      <c r="B21" s="5" t="s">
        <v>72</v>
      </c>
      <c r="C21" s="20">
        <v>501</v>
      </c>
      <c r="D21" s="21">
        <v>746</v>
      </c>
      <c r="E21" s="20">
        <v>1247</v>
      </c>
      <c r="F21" s="39"/>
      <c r="G21" s="39"/>
    </row>
    <row r="22" spans="1:7" ht="17.850000000000001" customHeight="1">
      <c r="A22" s="5"/>
      <c r="B22" s="5" t="s">
        <v>73</v>
      </c>
      <c r="C22" s="24">
        <v>40.176400000000001</v>
      </c>
      <c r="D22" s="25">
        <v>59.823599999999999</v>
      </c>
      <c r="E22" s="24">
        <v>100</v>
      </c>
      <c r="F22" s="39"/>
      <c r="G22" s="39"/>
    </row>
    <row r="23" spans="1:7" ht="17.850000000000001" customHeight="1">
      <c r="A23" s="19" t="s">
        <v>25</v>
      </c>
      <c r="B23" s="19" t="s">
        <v>72</v>
      </c>
      <c r="C23" s="20">
        <v>142</v>
      </c>
      <c r="D23" s="21">
        <v>251</v>
      </c>
      <c r="E23" s="20">
        <v>393</v>
      </c>
      <c r="F23" s="39"/>
      <c r="G23" s="39"/>
    </row>
    <row r="24" spans="1:7" ht="17.850000000000001" customHeight="1">
      <c r="A24" s="3"/>
      <c r="B24" s="3" t="s">
        <v>73</v>
      </c>
      <c r="C24" s="10">
        <v>36.132300000000001</v>
      </c>
      <c r="D24" s="12">
        <v>63.867699999999999</v>
      </c>
      <c r="E24" s="10">
        <v>100</v>
      </c>
      <c r="F24" s="39"/>
      <c r="G24" s="39"/>
    </row>
    <row r="25" spans="1:7">
      <c r="A25" s="5"/>
      <c r="B25" s="5"/>
      <c r="C25" s="44"/>
      <c r="D25" s="44"/>
      <c r="E25" s="44"/>
      <c r="F25" s="39"/>
      <c r="G25" s="39"/>
    </row>
    <row r="26" spans="1:7">
      <c r="A26" s="69" t="s">
        <v>114</v>
      </c>
      <c r="B26" s="68"/>
      <c r="C26" s="68"/>
      <c r="D26" s="68"/>
      <c r="E26" s="68"/>
      <c r="F26" s="39"/>
      <c r="G26" s="39"/>
    </row>
    <row r="27" spans="1:7">
      <c r="A27" s="69" t="s">
        <v>115</v>
      </c>
      <c r="B27" s="27"/>
      <c r="C27" s="27"/>
      <c r="D27" s="27"/>
      <c r="E27" s="27"/>
      <c r="F27" s="39"/>
      <c r="G27" s="39"/>
    </row>
    <row r="29" spans="1:7">
      <c r="A29" s="26" t="s">
        <v>38</v>
      </c>
    </row>
    <row r="30" spans="1:7">
      <c r="A30" s="26" t="s">
        <v>37</v>
      </c>
    </row>
    <row r="31" spans="1:7">
      <c r="A31" s="4"/>
    </row>
    <row r="32" spans="1:7">
      <c r="A32"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36.140625" customWidth="1"/>
    <col min="2" max="13" width="8.42578125" customWidth="1"/>
  </cols>
  <sheetData>
    <row r="1" spans="1:13" ht="20.25">
      <c r="A1" s="2" t="s">
        <v>214</v>
      </c>
      <c r="J1" s="111" t="s">
        <v>124</v>
      </c>
    </row>
    <row r="3" spans="1:13" ht="18">
      <c r="A3" s="1" t="s">
        <v>136</v>
      </c>
      <c r="B3" s="4"/>
      <c r="C3" s="4"/>
      <c r="D3" s="4"/>
      <c r="E3" s="4"/>
      <c r="F3" s="4"/>
      <c r="G3" s="4"/>
      <c r="H3" s="4"/>
      <c r="I3" s="4"/>
      <c r="J3" s="4"/>
      <c r="K3" s="4"/>
      <c r="L3" s="4"/>
      <c r="M3" s="4"/>
    </row>
    <row r="4" spans="1:13" ht="15">
      <c r="A4" s="28"/>
      <c r="B4" s="4"/>
      <c r="C4" s="4"/>
      <c r="D4" s="4"/>
      <c r="E4" s="4"/>
      <c r="F4" s="4"/>
      <c r="G4" s="4"/>
      <c r="H4" s="4"/>
      <c r="I4" s="4"/>
      <c r="J4" s="4"/>
      <c r="K4" s="4"/>
      <c r="L4" s="4"/>
      <c r="M4" s="4"/>
    </row>
    <row r="5" spans="1:13" ht="18">
      <c r="A5" s="1" t="s">
        <v>208</v>
      </c>
      <c r="B5" s="40"/>
      <c r="C5" s="40"/>
      <c r="D5" s="40"/>
      <c r="E5" s="40"/>
      <c r="F5" s="40"/>
      <c r="G5" s="40"/>
      <c r="H5" s="40"/>
      <c r="I5" s="40"/>
      <c r="J5" s="40"/>
      <c r="K5" s="40"/>
      <c r="L5" s="40"/>
      <c r="M5" s="40"/>
    </row>
    <row r="6" spans="1:13" ht="65.849999999999994" customHeight="1">
      <c r="A6" s="42" t="s">
        <v>69</v>
      </c>
      <c r="B6" s="55" t="s">
        <v>109</v>
      </c>
      <c r="C6" s="43" t="s">
        <v>74</v>
      </c>
      <c r="D6" s="55" t="s">
        <v>75</v>
      </c>
      <c r="E6" s="43" t="s">
        <v>76</v>
      </c>
      <c r="F6" s="55" t="s">
        <v>77</v>
      </c>
      <c r="G6" s="43" t="s">
        <v>78</v>
      </c>
      <c r="H6" s="55" t="s">
        <v>79</v>
      </c>
      <c r="I6" s="43" t="s">
        <v>80</v>
      </c>
      <c r="J6" s="55" t="s">
        <v>81</v>
      </c>
      <c r="K6" s="43" t="s">
        <v>82</v>
      </c>
      <c r="L6" s="55" t="s">
        <v>83</v>
      </c>
      <c r="M6" s="43" t="s">
        <v>84</v>
      </c>
    </row>
    <row r="7" spans="1:13" ht="21" customHeight="1">
      <c r="A7" s="14" t="s">
        <v>134</v>
      </c>
      <c r="B7" s="15">
        <v>4</v>
      </c>
      <c r="C7" s="16">
        <v>3</v>
      </c>
      <c r="D7" s="15">
        <v>0</v>
      </c>
      <c r="E7" s="16">
        <v>5</v>
      </c>
      <c r="F7" s="15">
        <v>3</v>
      </c>
      <c r="G7" s="16">
        <v>2</v>
      </c>
      <c r="H7" s="15">
        <v>2</v>
      </c>
      <c r="I7" s="16">
        <v>1</v>
      </c>
      <c r="J7" s="15">
        <v>3</v>
      </c>
      <c r="K7" s="16">
        <v>3</v>
      </c>
      <c r="L7" s="15">
        <v>2</v>
      </c>
      <c r="M7" s="16">
        <v>2</v>
      </c>
    </row>
    <row r="8" spans="1:13" ht="21" customHeight="1">
      <c r="A8" s="14" t="s">
        <v>129</v>
      </c>
      <c r="B8" s="15">
        <v>1413</v>
      </c>
      <c r="C8" s="16">
        <v>1248</v>
      </c>
      <c r="D8" s="15">
        <v>1418</v>
      </c>
      <c r="E8" s="16">
        <v>1186</v>
      </c>
      <c r="F8" s="15">
        <v>1167</v>
      </c>
      <c r="G8" s="16">
        <v>1070</v>
      </c>
      <c r="H8" s="15">
        <v>1134</v>
      </c>
      <c r="I8" s="16">
        <v>1265</v>
      </c>
      <c r="J8" s="15">
        <v>1213</v>
      </c>
      <c r="K8" s="16">
        <v>1306</v>
      </c>
      <c r="L8" s="15">
        <v>1290</v>
      </c>
      <c r="M8" s="16">
        <v>1571</v>
      </c>
    </row>
    <row r="9" spans="1:13" ht="21" customHeight="1">
      <c r="A9" s="14" t="s">
        <v>130</v>
      </c>
      <c r="B9" s="15">
        <v>1085</v>
      </c>
      <c r="C9" s="16">
        <v>1119</v>
      </c>
      <c r="D9" s="15">
        <v>1268</v>
      </c>
      <c r="E9" s="16">
        <v>1025</v>
      </c>
      <c r="F9" s="15">
        <v>1072</v>
      </c>
      <c r="G9" s="16">
        <v>819</v>
      </c>
      <c r="H9" s="15">
        <v>891</v>
      </c>
      <c r="I9" s="16">
        <v>1103</v>
      </c>
      <c r="J9" s="15">
        <v>1126</v>
      </c>
      <c r="K9" s="16">
        <v>1157</v>
      </c>
      <c r="L9" s="15">
        <v>1200</v>
      </c>
      <c r="M9" s="16">
        <v>1242</v>
      </c>
    </row>
    <row r="10" spans="1:13" ht="21" customHeight="1">
      <c r="A10" s="14" t="s">
        <v>13</v>
      </c>
      <c r="B10" s="15">
        <v>84</v>
      </c>
      <c r="C10" s="16">
        <v>85</v>
      </c>
      <c r="D10" s="15">
        <v>87</v>
      </c>
      <c r="E10" s="16">
        <v>81</v>
      </c>
      <c r="F10" s="15">
        <v>76</v>
      </c>
      <c r="G10" s="16">
        <v>72</v>
      </c>
      <c r="H10" s="15">
        <v>90</v>
      </c>
      <c r="I10" s="16">
        <v>73</v>
      </c>
      <c r="J10" s="15">
        <v>78</v>
      </c>
      <c r="K10" s="16">
        <v>88</v>
      </c>
      <c r="L10" s="15">
        <v>91</v>
      </c>
      <c r="M10" s="16">
        <v>101</v>
      </c>
    </row>
    <row r="11" spans="1:13" ht="21" customHeight="1">
      <c r="A11" s="14" t="s">
        <v>39</v>
      </c>
      <c r="B11" s="15">
        <v>371</v>
      </c>
      <c r="C11" s="16">
        <v>227</v>
      </c>
      <c r="D11" s="15">
        <v>286</v>
      </c>
      <c r="E11" s="16">
        <v>214</v>
      </c>
      <c r="F11" s="15">
        <v>242</v>
      </c>
      <c r="G11" s="16">
        <v>190</v>
      </c>
      <c r="H11" s="15">
        <v>245</v>
      </c>
      <c r="I11" s="16">
        <v>280</v>
      </c>
      <c r="J11" s="15">
        <v>276</v>
      </c>
      <c r="K11" s="16">
        <v>240</v>
      </c>
      <c r="L11" s="15">
        <v>269</v>
      </c>
      <c r="M11" s="16">
        <v>266</v>
      </c>
    </row>
    <row r="12" spans="1:13" ht="21" customHeight="1">
      <c r="A12" s="14" t="s">
        <v>14</v>
      </c>
      <c r="B12" s="15">
        <v>2</v>
      </c>
      <c r="C12" s="16">
        <v>4</v>
      </c>
      <c r="D12" s="15">
        <v>4</v>
      </c>
      <c r="E12" s="16">
        <v>4</v>
      </c>
      <c r="F12" s="15">
        <v>9</v>
      </c>
      <c r="G12" s="16">
        <v>2</v>
      </c>
      <c r="H12" s="15">
        <v>8</v>
      </c>
      <c r="I12" s="16">
        <v>5</v>
      </c>
      <c r="J12" s="15">
        <v>5</v>
      </c>
      <c r="K12" s="16">
        <v>6</v>
      </c>
      <c r="L12" s="15">
        <v>4</v>
      </c>
      <c r="M12" s="16">
        <v>8</v>
      </c>
    </row>
    <row r="13" spans="1:13" ht="21" customHeight="1">
      <c r="A13" s="14" t="s">
        <v>40</v>
      </c>
      <c r="B13" s="15">
        <v>44</v>
      </c>
      <c r="C13" s="16">
        <v>33</v>
      </c>
      <c r="D13" s="15">
        <v>55</v>
      </c>
      <c r="E13" s="16">
        <v>41</v>
      </c>
      <c r="F13" s="15">
        <v>48</v>
      </c>
      <c r="G13" s="16">
        <v>45</v>
      </c>
      <c r="H13" s="15">
        <v>48</v>
      </c>
      <c r="I13" s="16">
        <v>43</v>
      </c>
      <c r="J13" s="15">
        <v>45</v>
      </c>
      <c r="K13" s="16">
        <v>51</v>
      </c>
      <c r="L13" s="15">
        <v>50</v>
      </c>
      <c r="M13" s="16">
        <v>48</v>
      </c>
    </row>
    <row r="14" spans="1:13" ht="21" customHeight="1">
      <c r="A14" s="14" t="s">
        <v>15</v>
      </c>
      <c r="B14" s="15">
        <v>22</v>
      </c>
      <c r="C14" s="16">
        <v>13</v>
      </c>
      <c r="D14" s="15">
        <v>21</v>
      </c>
      <c r="E14" s="16">
        <v>9</v>
      </c>
      <c r="F14" s="15">
        <v>26</v>
      </c>
      <c r="G14" s="16">
        <v>14</v>
      </c>
      <c r="H14" s="15">
        <v>30</v>
      </c>
      <c r="I14" s="16">
        <v>20</v>
      </c>
      <c r="J14" s="15">
        <v>16</v>
      </c>
      <c r="K14" s="16">
        <v>25</v>
      </c>
      <c r="L14" s="15">
        <v>17</v>
      </c>
      <c r="M14" s="16">
        <v>23</v>
      </c>
    </row>
    <row r="15" spans="1:13" ht="21" customHeight="1">
      <c r="A15" s="14" t="s">
        <v>195</v>
      </c>
      <c r="B15" s="15">
        <v>12</v>
      </c>
      <c r="C15" s="16">
        <v>11</v>
      </c>
      <c r="D15" s="15">
        <v>6</v>
      </c>
      <c r="E15" s="16">
        <v>6</v>
      </c>
      <c r="F15" s="15">
        <v>4</v>
      </c>
      <c r="G15" s="16">
        <v>4</v>
      </c>
      <c r="H15" s="15">
        <v>3</v>
      </c>
      <c r="I15" s="16">
        <v>11</v>
      </c>
      <c r="J15" s="15">
        <v>3</v>
      </c>
      <c r="K15" s="16">
        <v>6</v>
      </c>
      <c r="L15" s="15">
        <v>6</v>
      </c>
      <c r="M15" s="16">
        <v>3</v>
      </c>
    </row>
    <row r="16" spans="1:13" ht="21" customHeight="1">
      <c r="A16" s="14" t="s">
        <v>135</v>
      </c>
      <c r="B16" s="15">
        <v>1562</v>
      </c>
      <c r="C16" s="16">
        <v>1670</v>
      </c>
      <c r="D16" s="15">
        <v>1773</v>
      </c>
      <c r="E16" s="16">
        <v>1550</v>
      </c>
      <c r="F16" s="15">
        <v>1517</v>
      </c>
      <c r="G16" s="16">
        <v>1368</v>
      </c>
      <c r="H16" s="15">
        <v>1439</v>
      </c>
      <c r="I16" s="16">
        <v>1607</v>
      </c>
      <c r="J16" s="15">
        <v>1590</v>
      </c>
      <c r="K16" s="16">
        <v>1619</v>
      </c>
      <c r="L16" s="15">
        <v>1631</v>
      </c>
      <c r="M16" s="16">
        <v>1802</v>
      </c>
    </row>
    <row r="17" spans="1:13" ht="21" customHeight="1">
      <c r="A17" s="14" t="s">
        <v>16</v>
      </c>
      <c r="B17" s="15">
        <v>47</v>
      </c>
      <c r="C17" s="16">
        <v>71</v>
      </c>
      <c r="D17" s="15">
        <v>49</v>
      </c>
      <c r="E17" s="16">
        <v>40</v>
      </c>
      <c r="F17" s="15">
        <v>42</v>
      </c>
      <c r="G17" s="16">
        <v>35</v>
      </c>
      <c r="H17" s="15">
        <v>54</v>
      </c>
      <c r="I17" s="16">
        <v>61</v>
      </c>
      <c r="J17" s="15">
        <v>62</v>
      </c>
      <c r="K17" s="16">
        <v>42</v>
      </c>
      <c r="L17" s="15">
        <v>58</v>
      </c>
      <c r="M17" s="16">
        <v>42</v>
      </c>
    </row>
    <row r="18" spans="1:13" ht="21" customHeight="1">
      <c r="A18" s="14" t="s">
        <v>4</v>
      </c>
      <c r="B18" s="15">
        <v>518</v>
      </c>
      <c r="C18" s="16">
        <v>412</v>
      </c>
      <c r="D18" s="15">
        <v>408</v>
      </c>
      <c r="E18" s="16">
        <v>369</v>
      </c>
      <c r="F18" s="15">
        <v>382</v>
      </c>
      <c r="G18" s="16">
        <v>305</v>
      </c>
      <c r="H18" s="15">
        <v>401</v>
      </c>
      <c r="I18" s="16">
        <v>448</v>
      </c>
      <c r="J18" s="15">
        <v>346</v>
      </c>
      <c r="K18" s="16">
        <v>414</v>
      </c>
      <c r="L18" s="15">
        <v>450</v>
      </c>
      <c r="M18" s="16">
        <v>455</v>
      </c>
    </row>
    <row r="19" spans="1:13" ht="21" customHeight="1">
      <c r="A19" s="14" t="s">
        <v>5</v>
      </c>
      <c r="B19" s="15">
        <v>182</v>
      </c>
      <c r="C19" s="16">
        <v>147</v>
      </c>
      <c r="D19" s="15">
        <v>159</v>
      </c>
      <c r="E19" s="16">
        <v>123</v>
      </c>
      <c r="F19" s="15">
        <v>131</v>
      </c>
      <c r="G19" s="16">
        <v>127</v>
      </c>
      <c r="H19" s="15">
        <v>189</v>
      </c>
      <c r="I19" s="16">
        <v>165</v>
      </c>
      <c r="J19" s="15">
        <v>167</v>
      </c>
      <c r="K19" s="16">
        <v>206</v>
      </c>
      <c r="L19" s="15">
        <v>165</v>
      </c>
      <c r="M19" s="16">
        <v>179</v>
      </c>
    </row>
    <row r="20" spans="1:13" ht="21" customHeight="1">
      <c r="A20" s="14" t="s">
        <v>17</v>
      </c>
      <c r="B20" s="15">
        <v>230</v>
      </c>
      <c r="C20" s="16">
        <v>185</v>
      </c>
      <c r="D20" s="15">
        <v>183</v>
      </c>
      <c r="E20" s="16">
        <v>170</v>
      </c>
      <c r="F20" s="15">
        <v>173</v>
      </c>
      <c r="G20" s="16">
        <v>153</v>
      </c>
      <c r="H20" s="15">
        <v>177</v>
      </c>
      <c r="I20" s="16">
        <v>196</v>
      </c>
      <c r="J20" s="15">
        <v>186</v>
      </c>
      <c r="K20" s="16">
        <v>231</v>
      </c>
      <c r="L20" s="15">
        <v>182</v>
      </c>
      <c r="M20" s="16">
        <v>203</v>
      </c>
    </row>
    <row r="21" spans="1:13" ht="21" customHeight="1">
      <c r="A21" s="14" t="s">
        <v>6</v>
      </c>
      <c r="B21" s="15">
        <v>316</v>
      </c>
      <c r="C21" s="16">
        <v>249</v>
      </c>
      <c r="D21" s="15">
        <v>261</v>
      </c>
      <c r="E21" s="16">
        <v>257</v>
      </c>
      <c r="F21" s="15">
        <v>221</v>
      </c>
      <c r="G21" s="16">
        <v>182</v>
      </c>
      <c r="H21" s="15">
        <v>222</v>
      </c>
      <c r="I21" s="16">
        <v>243</v>
      </c>
      <c r="J21" s="15">
        <v>219</v>
      </c>
      <c r="K21" s="16">
        <v>247</v>
      </c>
      <c r="L21" s="15">
        <v>272</v>
      </c>
      <c r="M21" s="16">
        <v>287</v>
      </c>
    </row>
    <row r="22" spans="1:13" ht="21" customHeight="1">
      <c r="A22" s="14" t="s">
        <v>7</v>
      </c>
      <c r="B22" s="15">
        <v>391</v>
      </c>
      <c r="C22" s="16">
        <v>332</v>
      </c>
      <c r="D22" s="15">
        <v>317</v>
      </c>
      <c r="E22" s="16">
        <v>364</v>
      </c>
      <c r="F22" s="15">
        <v>325</v>
      </c>
      <c r="G22" s="16">
        <v>294</v>
      </c>
      <c r="H22" s="15">
        <v>350</v>
      </c>
      <c r="I22" s="16">
        <v>283</v>
      </c>
      <c r="J22" s="15">
        <v>289</v>
      </c>
      <c r="K22" s="16">
        <v>321</v>
      </c>
      <c r="L22" s="15">
        <v>337</v>
      </c>
      <c r="M22" s="16">
        <v>332</v>
      </c>
    </row>
    <row r="23" spans="1:13" ht="21" customHeight="1">
      <c r="A23" s="14" t="s">
        <v>8</v>
      </c>
      <c r="B23" s="15">
        <v>923</v>
      </c>
      <c r="C23" s="16">
        <v>876</v>
      </c>
      <c r="D23" s="15">
        <v>903</v>
      </c>
      <c r="E23" s="16">
        <v>922</v>
      </c>
      <c r="F23" s="15">
        <v>1011</v>
      </c>
      <c r="G23" s="16">
        <v>889</v>
      </c>
      <c r="H23" s="15">
        <v>923</v>
      </c>
      <c r="I23" s="16">
        <v>862</v>
      </c>
      <c r="J23" s="15">
        <v>813</v>
      </c>
      <c r="K23" s="16">
        <v>935</v>
      </c>
      <c r="L23" s="15">
        <v>857</v>
      </c>
      <c r="M23" s="16">
        <v>837</v>
      </c>
    </row>
    <row r="24" spans="1:13" ht="21" customHeight="1">
      <c r="A24" s="14" t="s">
        <v>9</v>
      </c>
      <c r="B24" s="15">
        <v>306</v>
      </c>
      <c r="C24" s="16">
        <v>216</v>
      </c>
      <c r="D24" s="15">
        <v>237</v>
      </c>
      <c r="E24" s="16">
        <v>281</v>
      </c>
      <c r="F24" s="15">
        <v>218</v>
      </c>
      <c r="G24" s="16">
        <v>206</v>
      </c>
      <c r="H24" s="15">
        <v>239</v>
      </c>
      <c r="I24" s="16">
        <v>272</v>
      </c>
      <c r="J24" s="15">
        <v>240</v>
      </c>
      <c r="K24" s="16">
        <v>259</v>
      </c>
      <c r="L24" s="15">
        <v>248</v>
      </c>
      <c r="M24" s="16">
        <v>268</v>
      </c>
    </row>
    <row r="25" spans="1:13" ht="21" customHeight="1">
      <c r="A25" s="14" t="s">
        <v>10</v>
      </c>
      <c r="B25" s="15">
        <v>51</v>
      </c>
      <c r="C25" s="16">
        <v>45</v>
      </c>
      <c r="D25" s="15">
        <v>54</v>
      </c>
      <c r="E25" s="16">
        <v>43</v>
      </c>
      <c r="F25" s="15">
        <v>43</v>
      </c>
      <c r="G25" s="16">
        <v>28</v>
      </c>
      <c r="H25" s="15">
        <v>39</v>
      </c>
      <c r="I25" s="16">
        <v>48</v>
      </c>
      <c r="J25" s="15">
        <v>52</v>
      </c>
      <c r="K25" s="16">
        <v>41</v>
      </c>
      <c r="L25" s="15">
        <v>32</v>
      </c>
      <c r="M25" s="16">
        <v>55</v>
      </c>
    </row>
    <row r="26" spans="1:13" ht="21" customHeight="1">
      <c r="A26" s="14" t="s">
        <v>18</v>
      </c>
      <c r="B26" s="15">
        <v>4</v>
      </c>
      <c r="C26" s="16">
        <v>3</v>
      </c>
      <c r="D26" s="15">
        <v>3</v>
      </c>
      <c r="E26" s="16">
        <v>3</v>
      </c>
      <c r="F26" s="15">
        <v>4</v>
      </c>
      <c r="G26" s="16">
        <v>4</v>
      </c>
      <c r="H26" s="15">
        <v>2</v>
      </c>
      <c r="I26" s="16">
        <v>1</v>
      </c>
      <c r="J26" s="15">
        <v>5</v>
      </c>
      <c r="K26" s="16">
        <v>3</v>
      </c>
      <c r="L26" s="15">
        <v>1</v>
      </c>
      <c r="M26" s="16">
        <v>5</v>
      </c>
    </row>
    <row r="27" spans="1:13" ht="21" customHeight="1">
      <c r="A27" s="14" t="s">
        <v>11</v>
      </c>
      <c r="B27" s="15">
        <v>1042</v>
      </c>
      <c r="C27" s="16">
        <v>833</v>
      </c>
      <c r="D27" s="15">
        <v>818</v>
      </c>
      <c r="E27" s="16">
        <v>863</v>
      </c>
      <c r="F27" s="15">
        <v>843</v>
      </c>
      <c r="G27" s="16">
        <v>631</v>
      </c>
      <c r="H27" s="15">
        <v>1016</v>
      </c>
      <c r="I27" s="16">
        <v>980</v>
      </c>
      <c r="J27" s="15">
        <v>855</v>
      </c>
      <c r="K27" s="16">
        <v>917</v>
      </c>
      <c r="L27" s="15">
        <v>947</v>
      </c>
      <c r="M27" s="16">
        <v>836</v>
      </c>
    </row>
    <row r="28" spans="1:13" ht="21" customHeight="1">
      <c r="A28" s="14" t="s">
        <v>19</v>
      </c>
      <c r="B28" s="15">
        <v>476</v>
      </c>
      <c r="C28" s="16">
        <v>363</v>
      </c>
      <c r="D28" s="15">
        <v>384</v>
      </c>
      <c r="E28" s="16">
        <v>399</v>
      </c>
      <c r="F28" s="15">
        <v>393</v>
      </c>
      <c r="G28" s="16">
        <v>319</v>
      </c>
      <c r="H28" s="15">
        <v>397</v>
      </c>
      <c r="I28" s="16">
        <v>378</v>
      </c>
      <c r="J28" s="15">
        <v>395</v>
      </c>
      <c r="K28" s="16">
        <v>393</v>
      </c>
      <c r="L28" s="15">
        <v>418</v>
      </c>
      <c r="M28" s="16">
        <v>453</v>
      </c>
    </row>
    <row r="29" spans="1:13" ht="21" customHeight="1">
      <c r="A29" s="14" t="s">
        <v>20</v>
      </c>
      <c r="B29" s="15">
        <v>202</v>
      </c>
      <c r="C29" s="16">
        <v>189</v>
      </c>
      <c r="D29" s="15">
        <v>243</v>
      </c>
      <c r="E29" s="16">
        <v>197</v>
      </c>
      <c r="F29" s="15">
        <v>161</v>
      </c>
      <c r="G29" s="16">
        <v>157</v>
      </c>
      <c r="H29" s="15">
        <v>195</v>
      </c>
      <c r="I29" s="16">
        <v>271</v>
      </c>
      <c r="J29" s="15">
        <v>293</v>
      </c>
      <c r="K29" s="16">
        <v>246</v>
      </c>
      <c r="L29" s="15">
        <v>192</v>
      </c>
      <c r="M29" s="16">
        <v>234</v>
      </c>
    </row>
    <row r="30" spans="1:13" ht="21" customHeight="1">
      <c r="A30" s="14" t="s">
        <v>12</v>
      </c>
      <c r="B30" s="15">
        <v>1431</v>
      </c>
      <c r="C30" s="16">
        <v>1317</v>
      </c>
      <c r="D30" s="15">
        <v>1434</v>
      </c>
      <c r="E30" s="16">
        <v>1288</v>
      </c>
      <c r="F30" s="15">
        <v>1194</v>
      </c>
      <c r="G30" s="16">
        <v>1093</v>
      </c>
      <c r="H30" s="15">
        <v>1387</v>
      </c>
      <c r="I30" s="16">
        <v>1318</v>
      </c>
      <c r="J30" s="15">
        <v>1390</v>
      </c>
      <c r="K30" s="16">
        <v>1411</v>
      </c>
      <c r="L30" s="15">
        <v>1414</v>
      </c>
      <c r="M30" s="16">
        <v>1516</v>
      </c>
    </row>
    <row r="31" spans="1:13" ht="21" customHeight="1">
      <c r="A31" s="14" t="s">
        <v>21</v>
      </c>
      <c r="B31" s="15">
        <v>1315</v>
      </c>
      <c r="C31" s="16">
        <v>1196</v>
      </c>
      <c r="D31" s="15">
        <v>1228</v>
      </c>
      <c r="E31" s="16">
        <v>1257</v>
      </c>
      <c r="F31" s="15">
        <v>1213</v>
      </c>
      <c r="G31" s="16">
        <v>1106</v>
      </c>
      <c r="H31" s="15">
        <v>1145</v>
      </c>
      <c r="I31" s="16">
        <v>1214</v>
      </c>
      <c r="J31" s="15">
        <v>1061</v>
      </c>
      <c r="K31" s="16">
        <v>1337</v>
      </c>
      <c r="L31" s="15">
        <v>1261</v>
      </c>
      <c r="M31" s="16">
        <v>1322</v>
      </c>
    </row>
    <row r="32" spans="1:13" ht="21" customHeight="1">
      <c r="A32" s="14" t="s">
        <v>22</v>
      </c>
      <c r="B32" s="15">
        <v>663</v>
      </c>
      <c r="C32" s="16">
        <v>521</v>
      </c>
      <c r="D32" s="15">
        <v>517</v>
      </c>
      <c r="E32" s="16">
        <v>580</v>
      </c>
      <c r="F32" s="15">
        <v>573</v>
      </c>
      <c r="G32" s="16">
        <v>542</v>
      </c>
      <c r="H32" s="15">
        <v>656</v>
      </c>
      <c r="I32" s="16">
        <v>703</v>
      </c>
      <c r="J32" s="15">
        <v>729</v>
      </c>
      <c r="K32" s="16">
        <v>840</v>
      </c>
      <c r="L32" s="15">
        <v>644</v>
      </c>
      <c r="M32" s="16">
        <v>605</v>
      </c>
    </row>
    <row r="33" spans="1:13" ht="21" customHeight="1">
      <c r="A33" s="14" t="s">
        <v>23</v>
      </c>
      <c r="B33" s="15">
        <v>785</v>
      </c>
      <c r="C33" s="16">
        <v>748</v>
      </c>
      <c r="D33" s="15">
        <v>746</v>
      </c>
      <c r="E33" s="16">
        <v>700</v>
      </c>
      <c r="F33" s="15">
        <v>713</v>
      </c>
      <c r="G33" s="16">
        <v>674</v>
      </c>
      <c r="H33" s="15">
        <v>713</v>
      </c>
      <c r="I33" s="16">
        <v>723</v>
      </c>
      <c r="J33" s="15">
        <v>685</v>
      </c>
      <c r="K33" s="16">
        <v>728</v>
      </c>
      <c r="L33" s="15">
        <v>719</v>
      </c>
      <c r="M33" s="16">
        <v>718</v>
      </c>
    </row>
    <row r="34" spans="1:13" ht="21" customHeight="1">
      <c r="A34" s="14" t="s">
        <v>26</v>
      </c>
      <c r="B34" s="15">
        <v>0</v>
      </c>
      <c r="C34" s="16">
        <v>1</v>
      </c>
      <c r="D34" s="15">
        <v>1</v>
      </c>
      <c r="E34" s="16">
        <v>0</v>
      </c>
      <c r="F34" s="15">
        <v>0</v>
      </c>
      <c r="G34" s="16">
        <v>2</v>
      </c>
      <c r="H34" s="15">
        <v>0</v>
      </c>
      <c r="I34" s="16">
        <v>0</v>
      </c>
      <c r="J34" s="15">
        <v>0</v>
      </c>
      <c r="K34" s="16">
        <v>0</v>
      </c>
      <c r="L34" s="15">
        <v>1</v>
      </c>
      <c r="M34" s="16">
        <v>4</v>
      </c>
    </row>
    <row r="35" spans="1:13" ht="21" customHeight="1">
      <c r="A35" s="14" t="s">
        <v>27</v>
      </c>
      <c r="B35" s="15">
        <v>156</v>
      </c>
      <c r="C35" s="16">
        <v>127</v>
      </c>
      <c r="D35" s="15">
        <v>161</v>
      </c>
      <c r="E35" s="16">
        <v>142</v>
      </c>
      <c r="F35" s="15">
        <v>154</v>
      </c>
      <c r="G35" s="16">
        <v>127</v>
      </c>
      <c r="H35" s="15">
        <v>111</v>
      </c>
      <c r="I35" s="16">
        <v>200</v>
      </c>
      <c r="J35" s="15">
        <v>180</v>
      </c>
      <c r="K35" s="16">
        <v>287</v>
      </c>
      <c r="L35" s="15">
        <v>174</v>
      </c>
      <c r="M35" s="16">
        <v>215</v>
      </c>
    </row>
    <row r="36" spans="1:13" ht="21" customHeight="1">
      <c r="A36" s="14" t="s">
        <v>28</v>
      </c>
      <c r="B36" s="15">
        <v>32</v>
      </c>
      <c r="C36" s="16">
        <v>29</v>
      </c>
      <c r="D36" s="15">
        <v>26</v>
      </c>
      <c r="E36" s="16">
        <v>26</v>
      </c>
      <c r="F36" s="15">
        <v>29</v>
      </c>
      <c r="G36" s="16">
        <v>21</v>
      </c>
      <c r="H36" s="15">
        <v>19</v>
      </c>
      <c r="I36" s="16">
        <v>29</v>
      </c>
      <c r="J36" s="15">
        <v>22</v>
      </c>
      <c r="K36" s="16">
        <v>26</v>
      </c>
      <c r="L36" s="15">
        <v>25</v>
      </c>
      <c r="M36" s="16">
        <v>21</v>
      </c>
    </row>
    <row r="37" spans="1:13" ht="21" customHeight="1">
      <c r="A37" s="14" t="s">
        <v>29</v>
      </c>
      <c r="B37" s="15">
        <v>3318</v>
      </c>
      <c r="C37" s="16">
        <v>2974</v>
      </c>
      <c r="D37" s="15">
        <v>3243</v>
      </c>
      <c r="E37" s="16">
        <v>3074</v>
      </c>
      <c r="F37" s="15">
        <v>2954</v>
      </c>
      <c r="G37" s="16">
        <v>2676</v>
      </c>
      <c r="H37" s="15">
        <v>2850</v>
      </c>
      <c r="I37" s="16">
        <v>3025</v>
      </c>
      <c r="J37" s="15">
        <v>3001</v>
      </c>
      <c r="K37" s="16">
        <v>3147</v>
      </c>
      <c r="L37" s="15">
        <v>2908</v>
      </c>
      <c r="M37" s="16">
        <v>3185</v>
      </c>
    </row>
    <row r="38" spans="1:13" ht="21" customHeight="1">
      <c r="A38" s="14" t="s">
        <v>31</v>
      </c>
      <c r="B38" s="15">
        <v>554</v>
      </c>
      <c r="C38" s="16">
        <v>431</v>
      </c>
      <c r="D38" s="15">
        <v>709</v>
      </c>
      <c r="E38" s="16">
        <v>716</v>
      </c>
      <c r="F38" s="15">
        <v>631</v>
      </c>
      <c r="G38" s="16">
        <v>625</v>
      </c>
      <c r="H38" s="15">
        <v>555</v>
      </c>
      <c r="I38" s="16">
        <v>722</v>
      </c>
      <c r="J38" s="15">
        <v>495</v>
      </c>
      <c r="K38" s="16">
        <v>411</v>
      </c>
      <c r="L38" s="15">
        <v>377</v>
      </c>
      <c r="M38" s="16">
        <v>494</v>
      </c>
    </row>
    <row r="39" spans="1:13" ht="21" customHeight="1">
      <c r="A39" s="14" t="s">
        <v>32</v>
      </c>
      <c r="B39" s="15">
        <v>551</v>
      </c>
      <c r="C39" s="16">
        <v>386</v>
      </c>
      <c r="D39" s="15">
        <v>356</v>
      </c>
      <c r="E39" s="16">
        <v>455</v>
      </c>
      <c r="F39" s="15">
        <v>338</v>
      </c>
      <c r="G39" s="16">
        <v>356</v>
      </c>
      <c r="H39" s="15">
        <v>378</v>
      </c>
      <c r="I39" s="16">
        <v>410</v>
      </c>
      <c r="J39" s="15">
        <v>329</v>
      </c>
      <c r="K39" s="16">
        <v>427</v>
      </c>
      <c r="L39" s="15">
        <v>389</v>
      </c>
      <c r="M39" s="16">
        <v>499</v>
      </c>
    </row>
    <row r="40" spans="1:13">
      <c r="A40" s="5"/>
      <c r="B40" s="41"/>
      <c r="C40" s="41"/>
      <c r="D40" s="41"/>
      <c r="E40" s="41"/>
      <c r="F40" s="41"/>
      <c r="G40" s="41"/>
      <c r="H40" s="41"/>
      <c r="I40" s="41"/>
      <c r="J40" s="41"/>
      <c r="K40" s="41"/>
      <c r="L40" s="41"/>
      <c r="M40" s="41"/>
    </row>
    <row r="41" spans="1:13">
      <c r="A41" s="71" t="s">
        <v>117</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c r="A43" s="26" t="s">
        <v>38</v>
      </c>
    </row>
    <row r="44" spans="1:13">
      <c r="A44" s="26" t="s">
        <v>37</v>
      </c>
    </row>
    <row r="45" spans="1:13">
      <c r="A45" s="4"/>
    </row>
    <row r="46" spans="1:13">
      <c r="A46"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75"/>
  <cols>
    <col min="1" max="1" width="38.7109375" customWidth="1"/>
    <col min="2" max="29" width="5.7109375" customWidth="1"/>
  </cols>
  <sheetData>
    <row r="1" spans="1:29" ht="20.25">
      <c r="A1" s="2" t="s">
        <v>214</v>
      </c>
      <c r="L1" s="111" t="s">
        <v>124</v>
      </c>
    </row>
    <row r="3" spans="1:29" s="4" customFormat="1" ht="18">
      <c r="A3" s="56" t="s">
        <v>137</v>
      </c>
      <c r="B3" s="40"/>
      <c r="C3" s="40"/>
      <c r="D3" s="40"/>
      <c r="E3" s="40"/>
      <c r="F3" s="40"/>
      <c r="G3" s="40"/>
      <c r="H3" s="40"/>
      <c r="I3" s="40"/>
      <c r="J3" s="40"/>
      <c r="K3" s="40"/>
    </row>
    <row r="4" spans="1:29" s="4" customFormat="1" ht="8.85" customHeight="1">
      <c r="A4" s="56"/>
      <c r="B4" s="40"/>
      <c r="C4" s="40"/>
      <c r="D4" s="40"/>
      <c r="E4" s="40"/>
      <c r="F4" s="40"/>
      <c r="G4" s="40"/>
      <c r="H4" s="40"/>
      <c r="I4" s="40"/>
      <c r="J4" s="40"/>
      <c r="K4" s="40"/>
    </row>
    <row r="5" spans="1:29" s="4" customFormat="1" ht="18">
      <c r="A5" s="57" t="s">
        <v>208</v>
      </c>
      <c r="B5" s="58"/>
      <c r="C5" s="58"/>
      <c r="D5" s="58"/>
      <c r="E5" s="58"/>
      <c r="F5" s="58"/>
      <c r="G5" s="58"/>
      <c r="H5" s="58"/>
      <c r="I5" s="58"/>
      <c r="J5" s="58"/>
      <c r="K5" s="58"/>
      <c r="L5" s="37"/>
      <c r="M5" s="37"/>
      <c r="N5" s="37"/>
      <c r="O5" s="37"/>
      <c r="P5" s="37"/>
      <c r="Q5" s="37"/>
      <c r="R5" s="37"/>
      <c r="S5" s="37"/>
      <c r="T5" s="37"/>
      <c r="U5" s="37"/>
      <c r="V5" s="37"/>
      <c r="W5" s="37"/>
      <c r="X5" s="37"/>
      <c r="Y5" s="37"/>
      <c r="Z5" s="37"/>
      <c r="AA5" s="37"/>
      <c r="AB5" s="37"/>
      <c r="AC5" s="37"/>
    </row>
    <row r="6" spans="1:29" s="4" customFormat="1" ht="20.45" customHeight="1">
      <c r="B6" s="151" t="s">
        <v>110</v>
      </c>
      <c r="C6" s="151"/>
      <c r="D6" s="151"/>
      <c r="E6" s="151"/>
      <c r="F6" s="152" t="s">
        <v>85</v>
      </c>
      <c r="G6" s="152"/>
      <c r="H6" s="152"/>
      <c r="I6" s="152"/>
      <c r="J6" s="151" t="s">
        <v>86</v>
      </c>
      <c r="K6" s="151"/>
      <c r="L6" s="151"/>
      <c r="M6" s="151"/>
      <c r="N6" s="152" t="s">
        <v>87</v>
      </c>
      <c r="O6" s="152"/>
      <c r="P6" s="152"/>
      <c r="Q6" s="152"/>
      <c r="R6" s="151" t="s">
        <v>88</v>
      </c>
      <c r="S6" s="151"/>
      <c r="T6" s="151"/>
      <c r="U6" s="151"/>
      <c r="V6" s="152" t="s">
        <v>89</v>
      </c>
      <c r="W6" s="152"/>
      <c r="X6" s="152"/>
      <c r="Y6" s="152"/>
      <c r="Z6" s="151" t="s">
        <v>90</v>
      </c>
      <c r="AA6" s="151"/>
      <c r="AB6" s="151"/>
      <c r="AC6" s="151"/>
    </row>
    <row r="7" spans="1:29" s="4" customFormat="1" ht="30.6" customHeight="1">
      <c r="A7" s="59" t="s">
        <v>69</v>
      </c>
      <c r="B7" s="61" t="s">
        <v>91</v>
      </c>
      <c r="C7" s="61" t="s">
        <v>92</v>
      </c>
      <c r="D7" s="61" t="s">
        <v>93</v>
      </c>
      <c r="E7" s="61" t="s">
        <v>94</v>
      </c>
      <c r="F7" s="60" t="s">
        <v>91</v>
      </c>
      <c r="G7" s="60" t="s">
        <v>95</v>
      </c>
      <c r="H7" s="60" t="s">
        <v>96</v>
      </c>
      <c r="I7" s="60" t="s">
        <v>97</v>
      </c>
      <c r="J7" s="61" t="s">
        <v>98</v>
      </c>
      <c r="K7" s="61" t="s">
        <v>95</v>
      </c>
      <c r="L7" s="61" t="s">
        <v>96</v>
      </c>
      <c r="M7" s="61" t="s">
        <v>97</v>
      </c>
      <c r="N7" s="60" t="s">
        <v>98</v>
      </c>
      <c r="O7" s="60" t="s">
        <v>95</v>
      </c>
      <c r="P7" s="60" t="s">
        <v>96</v>
      </c>
      <c r="Q7" s="60" t="s">
        <v>97</v>
      </c>
      <c r="R7" s="61" t="s">
        <v>98</v>
      </c>
      <c r="S7" s="61" t="s">
        <v>95</v>
      </c>
      <c r="T7" s="61" t="s">
        <v>96</v>
      </c>
      <c r="U7" s="61" t="s">
        <v>97</v>
      </c>
      <c r="V7" s="60" t="s">
        <v>98</v>
      </c>
      <c r="W7" s="60" t="s">
        <v>95</v>
      </c>
      <c r="X7" s="60" t="s">
        <v>96</v>
      </c>
      <c r="Y7" s="60" t="s">
        <v>97</v>
      </c>
      <c r="Z7" s="61" t="s">
        <v>98</v>
      </c>
      <c r="AA7" s="61" t="s">
        <v>95</v>
      </c>
      <c r="AB7" s="61" t="s">
        <v>96</v>
      </c>
      <c r="AC7" s="61" t="s">
        <v>97</v>
      </c>
    </row>
    <row r="8" spans="1:29" s="4" customFormat="1" ht="21" customHeight="1">
      <c r="A8" s="14" t="s">
        <v>134</v>
      </c>
      <c r="B8" s="115">
        <v>2</v>
      </c>
      <c r="C8" s="115">
        <v>1</v>
      </c>
      <c r="D8" s="115">
        <v>1</v>
      </c>
      <c r="E8" s="115">
        <v>0</v>
      </c>
      <c r="F8" s="116">
        <v>2</v>
      </c>
      <c r="G8" s="116">
        <v>2</v>
      </c>
      <c r="H8" s="116">
        <v>1</v>
      </c>
      <c r="I8" s="116">
        <v>2</v>
      </c>
      <c r="J8" s="115">
        <v>0</v>
      </c>
      <c r="K8" s="115">
        <v>2</v>
      </c>
      <c r="L8" s="115">
        <v>1</v>
      </c>
      <c r="M8" s="115">
        <v>0</v>
      </c>
      <c r="N8" s="116">
        <v>0</v>
      </c>
      <c r="O8" s="116">
        <v>0</v>
      </c>
      <c r="P8" s="116">
        <v>1</v>
      </c>
      <c r="Q8" s="116">
        <v>1</v>
      </c>
      <c r="R8" s="115">
        <v>1</v>
      </c>
      <c r="S8" s="115">
        <v>1</v>
      </c>
      <c r="T8" s="115">
        <v>1</v>
      </c>
      <c r="U8" s="115">
        <v>1</v>
      </c>
      <c r="V8" s="116">
        <v>2</v>
      </c>
      <c r="W8" s="116">
        <v>1</v>
      </c>
      <c r="X8" s="116">
        <v>2</v>
      </c>
      <c r="Y8" s="116">
        <v>1</v>
      </c>
      <c r="Z8" s="115">
        <v>0</v>
      </c>
      <c r="AA8" s="115">
        <v>0</v>
      </c>
      <c r="AB8" s="115">
        <v>3</v>
      </c>
      <c r="AC8" s="115">
        <v>1</v>
      </c>
    </row>
    <row r="9" spans="1:29" s="4" customFormat="1" ht="21" customHeight="1">
      <c r="A9" s="14" t="s">
        <v>129</v>
      </c>
      <c r="B9" s="115">
        <v>497</v>
      </c>
      <c r="C9" s="115">
        <v>504</v>
      </c>
      <c r="D9" s="115">
        <v>841</v>
      </c>
      <c r="E9" s="115">
        <v>795</v>
      </c>
      <c r="F9" s="116">
        <v>211</v>
      </c>
      <c r="G9" s="116">
        <v>468</v>
      </c>
      <c r="H9" s="116">
        <v>731</v>
      </c>
      <c r="I9" s="116">
        <v>676</v>
      </c>
      <c r="J9" s="115">
        <v>193</v>
      </c>
      <c r="K9" s="115">
        <v>460</v>
      </c>
      <c r="L9" s="115">
        <v>634</v>
      </c>
      <c r="M9" s="115">
        <v>665</v>
      </c>
      <c r="N9" s="116">
        <v>261</v>
      </c>
      <c r="O9" s="116">
        <v>437</v>
      </c>
      <c r="P9" s="116">
        <v>624</v>
      </c>
      <c r="Q9" s="116">
        <v>663</v>
      </c>
      <c r="R9" s="115">
        <v>243</v>
      </c>
      <c r="S9" s="115">
        <v>411</v>
      </c>
      <c r="T9" s="115">
        <v>638</v>
      </c>
      <c r="U9" s="115">
        <v>726</v>
      </c>
      <c r="V9" s="116">
        <v>208</v>
      </c>
      <c r="W9" s="116">
        <v>397</v>
      </c>
      <c r="X9" s="116">
        <v>635</v>
      </c>
      <c r="Y9" s="116">
        <v>795</v>
      </c>
      <c r="Z9" s="115">
        <v>392</v>
      </c>
      <c r="AA9" s="115">
        <v>490</v>
      </c>
      <c r="AB9" s="115">
        <v>741</v>
      </c>
      <c r="AC9" s="115">
        <v>945</v>
      </c>
    </row>
    <row r="10" spans="1:29" s="4" customFormat="1" ht="21" customHeight="1">
      <c r="A10" s="14" t="s">
        <v>130</v>
      </c>
      <c r="B10" s="115">
        <v>595</v>
      </c>
      <c r="C10" s="115">
        <v>279</v>
      </c>
      <c r="D10" s="115">
        <v>644</v>
      </c>
      <c r="E10" s="115">
        <v>454</v>
      </c>
      <c r="F10" s="116">
        <v>153</v>
      </c>
      <c r="G10" s="116">
        <v>362</v>
      </c>
      <c r="H10" s="116">
        <v>753</v>
      </c>
      <c r="I10" s="116">
        <v>384</v>
      </c>
      <c r="J10" s="115">
        <v>127</v>
      </c>
      <c r="K10" s="115">
        <v>384</v>
      </c>
      <c r="L10" s="115">
        <v>761</v>
      </c>
      <c r="M10" s="115">
        <v>403</v>
      </c>
      <c r="N10" s="116">
        <v>210</v>
      </c>
      <c r="O10" s="116">
        <v>335</v>
      </c>
      <c r="P10" s="116">
        <v>725</v>
      </c>
      <c r="Q10" s="116">
        <v>450</v>
      </c>
      <c r="R10" s="115">
        <v>153</v>
      </c>
      <c r="S10" s="115">
        <v>354</v>
      </c>
      <c r="T10" s="115">
        <v>738</v>
      </c>
      <c r="U10" s="115">
        <v>490</v>
      </c>
      <c r="V10" s="116">
        <v>156</v>
      </c>
      <c r="W10" s="116">
        <v>370</v>
      </c>
      <c r="X10" s="116">
        <v>690</v>
      </c>
      <c r="Y10" s="116">
        <v>832</v>
      </c>
      <c r="Z10" s="115">
        <v>444</v>
      </c>
      <c r="AA10" s="115">
        <v>287</v>
      </c>
      <c r="AB10" s="115">
        <v>626</v>
      </c>
      <c r="AC10" s="115">
        <v>948</v>
      </c>
    </row>
    <row r="11" spans="1:29" s="4" customFormat="1" ht="21" customHeight="1">
      <c r="A11" s="14" t="s">
        <v>13</v>
      </c>
      <c r="B11" s="115">
        <v>52</v>
      </c>
      <c r="C11" s="115">
        <v>17</v>
      </c>
      <c r="D11" s="115">
        <v>21</v>
      </c>
      <c r="E11" s="115">
        <v>37</v>
      </c>
      <c r="F11" s="116">
        <v>7</v>
      </c>
      <c r="G11" s="116">
        <v>20</v>
      </c>
      <c r="H11" s="116">
        <v>43</v>
      </c>
      <c r="I11" s="116">
        <v>46</v>
      </c>
      <c r="J11" s="115">
        <v>22</v>
      </c>
      <c r="K11" s="115">
        <v>24</v>
      </c>
      <c r="L11" s="115">
        <v>47</v>
      </c>
      <c r="M11" s="115">
        <v>54</v>
      </c>
      <c r="N11" s="116">
        <v>33</v>
      </c>
      <c r="O11" s="116">
        <v>32</v>
      </c>
      <c r="P11" s="116">
        <v>55</v>
      </c>
      <c r="Q11" s="116">
        <v>28</v>
      </c>
      <c r="R11" s="115">
        <v>12</v>
      </c>
      <c r="S11" s="115">
        <v>36</v>
      </c>
      <c r="T11" s="115">
        <v>40</v>
      </c>
      <c r="U11" s="115">
        <v>37</v>
      </c>
      <c r="V11" s="116">
        <v>15</v>
      </c>
      <c r="W11" s="116">
        <v>33</v>
      </c>
      <c r="X11" s="116">
        <v>58</v>
      </c>
      <c r="Y11" s="116">
        <v>61</v>
      </c>
      <c r="Z11" s="115">
        <v>50</v>
      </c>
      <c r="AA11" s="115">
        <v>13</v>
      </c>
      <c r="AB11" s="115">
        <v>32</v>
      </c>
      <c r="AC11" s="115">
        <v>81</v>
      </c>
    </row>
    <row r="12" spans="1:29" s="4" customFormat="1" ht="21" customHeight="1">
      <c r="A12" s="14" t="s">
        <v>39</v>
      </c>
      <c r="B12" s="115">
        <v>168</v>
      </c>
      <c r="C12" s="115">
        <v>67</v>
      </c>
      <c r="D12" s="115">
        <v>111</v>
      </c>
      <c r="E12" s="115">
        <v>93</v>
      </c>
      <c r="F12" s="116">
        <v>137</v>
      </c>
      <c r="G12" s="116">
        <v>72</v>
      </c>
      <c r="H12" s="116">
        <v>112</v>
      </c>
      <c r="I12" s="116">
        <v>82</v>
      </c>
      <c r="J12" s="115">
        <v>119</v>
      </c>
      <c r="K12" s="115">
        <v>74</v>
      </c>
      <c r="L12" s="115">
        <v>107</v>
      </c>
      <c r="M12" s="115">
        <v>72</v>
      </c>
      <c r="N12" s="116">
        <v>252</v>
      </c>
      <c r="O12" s="116">
        <v>80</v>
      </c>
      <c r="P12" s="116">
        <v>96</v>
      </c>
      <c r="Q12" s="116">
        <v>90</v>
      </c>
      <c r="R12" s="115">
        <v>142</v>
      </c>
      <c r="S12" s="115">
        <v>82</v>
      </c>
      <c r="T12" s="115">
        <v>124</v>
      </c>
      <c r="U12" s="115">
        <v>79</v>
      </c>
      <c r="V12" s="116">
        <v>143</v>
      </c>
      <c r="W12" s="116">
        <v>92</v>
      </c>
      <c r="X12" s="116">
        <v>126</v>
      </c>
      <c r="Y12" s="116">
        <v>109</v>
      </c>
      <c r="Z12" s="115">
        <v>166</v>
      </c>
      <c r="AA12" s="115">
        <v>49</v>
      </c>
      <c r="AB12" s="115">
        <v>117</v>
      </c>
      <c r="AC12" s="115">
        <v>145</v>
      </c>
    </row>
    <row r="13" spans="1:29" s="4" customFormat="1" ht="21" customHeight="1">
      <c r="A13" s="14" t="s">
        <v>14</v>
      </c>
      <c r="B13" s="115">
        <v>2</v>
      </c>
      <c r="C13" s="115">
        <v>2</v>
      </c>
      <c r="D13" s="115">
        <v>1</v>
      </c>
      <c r="E13" s="115">
        <v>1</v>
      </c>
      <c r="F13" s="116">
        <v>2</v>
      </c>
      <c r="G13" s="116">
        <v>1</v>
      </c>
      <c r="H13" s="116">
        <v>5</v>
      </c>
      <c r="I13" s="116">
        <v>0</v>
      </c>
      <c r="J13" s="115">
        <v>2</v>
      </c>
      <c r="K13" s="115">
        <v>1</v>
      </c>
      <c r="L13" s="115">
        <v>2</v>
      </c>
      <c r="M13" s="115">
        <v>2</v>
      </c>
      <c r="N13" s="116">
        <v>0</v>
      </c>
      <c r="O13" s="116">
        <v>1</v>
      </c>
      <c r="P13" s="116">
        <v>3</v>
      </c>
      <c r="Q13" s="116">
        <v>1</v>
      </c>
      <c r="R13" s="115">
        <v>1</v>
      </c>
      <c r="S13" s="115">
        <v>0</v>
      </c>
      <c r="T13" s="115">
        <v>3</v>
      </c>
      <c r="U13" s="115">
        <v>2</v>
      </c>
      <c r="V13" s="116">
        <v>2</v>
      </c>
      <c r="W13" s="116">
        <v>1</v>
      </c>
      <c r="X13" s="116">
        <v>7</v>
      </c>
      <c r="Y13" s="116">
        <v>3</v>
      </c>
      <c r="Z13" s="115">
        <v>4</v>
      </c>
      <c r="AA13" s="115">
        <v>3</v>
      </c>
      <c r="AB13" s="115">
        <v>5</v>
      </c>
      <c r="AC13" s="115">
        <v>4</v>
      </c>
    </row>
    <row r="14" spans="1:29" s="4" customFormat="1" ht="21" customHeight="1">
      <c r="A14" s="14" t="s">
        <v>40</v>
      </c>
      <c r="B14" s="115">
        <v>29</v>
      </c>
      <c r="C14" s="115">
        <v>8</v>
      </c>
      <c r="D14" s="115">
        <v>24</v>
      </c>
      <c r="E14" s="115">
        <v>29</v>
      </c>
      <c r="F14" s="116">
        <v>9</v>
      </c>
      <c r="G14" s="116">
        <v>12</v>
      </c>
      <c r="H14" s="116">
        <v>23</v>
      </c>
      <c r="I14" s="116">
        <v>24</v>
      </c>
      <c r="J14" s="115">
        <v>23</v>
      </c>
      <c r="K14" s="115">
        <v>9</v>
      </c>
      <c r="L14" s="115">
        <v>19</v>
      </c>
      <c r="M14" s="115">
        <v>25</v>
      </c>
      <c r="N14" s="116">
        <v>17</v>
      </c>
      <c r="O14" s="116">
        <v>7</v>
      </c>
      <c r="P14" s="116">
        <v>17</v>
      </c>
      <c r="Q14" s="116">
        <v>23</v>
      </c>
      <c r="R14" s="115">
        <v>17</v>
      </c>
      <c r="S14" s="115">
        <v>13</v>
      </c>
      <c r="T14" s="115">
        <v>22</v>
      </c>
      <c r="U14" s="115">
        <v>20</v>
      </c>
      <c r="V14" s="116">
        <v>25</v>
      </c>
      <c r="W14" s="116">
        <v>14</v>
      </c>
      <c r="X14" s="116">
        <v>25</v>
      </c>
      <c r="Y14" s="116">
        <v>28</v>
      </c>
      <c r="Z14" s="115">
        <v>18</v>
      </c>
      <c r="AA14" s="115">
        <v>10</v>
      </c>
      <c r="AB14" s="115">
        <v>23</v>
      </c>
      <c r="AC14" s="115">
        <v>38</v>
      </c>
    </row>
    <row r="15" spans="1:29" s="4" customFormat="1" ht="21" customHeight="1">
      <c r="A15" s="14" t="s">
        <v>15</v>
      </c>
      <c r="B15" s="115">
        <v>16</v>
      </c>
      <c r="C15" s="115">
        <v>5</v>
      </c>
      <c r="D15" s="115">
        <v>9</v>
      </c>
      <c r="E15" s="115">
        <v>5</v>
      </c>
      <c r="F15" s="116">
        <v>17</v>
      </c>
      <c r="G15" s="116">
        <v>6</v>
      </c>
      <c r="H15" s="116">
        <v>10</v>
      </c>
      <c r="I15" s="116">
        <v>7</v>
      </c>
      <c r="J15" s="115">
        <v>13</v>
      </c>
      <c r="K15" s="115">
        <v>5</v>
      </c>
      <c r="L15" s="115">
        <v>11</v>
      </c>
      <c r="M15" s="115">
        <v>7</v>
      </c>
      <c r="N15" s="116">
        <v>16</v>
      </c>
      <c r="O15" s="116">
        <v>5</v>
      </c>
      <c r="P15" s="116">
        <v>3</v>
      </c>
      <c r="Q15" s="116">
        <v>9</v>
      </c>
      <c r="R15" s="115">
        <v>11</v>
      </c>
      <c r="S15" s="115">
        <v>8</v>
      </c>
      <c r="T15" s="115">
        <v>9</v>
      </c>
      <c r="U15" s="115">
        <v>6</v>
      </c>
      <c r="V15" s="116">
        <v>14</v>
      </c>
      <c r="W15" s="116">
        <v>5</v>
      </c>
      <c r="X15" s="116">
        <v>12</v>
      </c>
      <c r="Y15" s="116">
        <v>5</v>
      </c>
      <c r="Z15" s="115">
        <v>9</v>
      </c>
      <c r="AA15" s="115">
        <v>6</v>
      </c>
      <c r="AB15" s="115">
        <v>3</v>
      </c>
      <c r="AC15" s="115">
        <v>4</v>
      </c>
    </row>
    <row r="16" spans="1:29" s="4" customFormat="1" ht="21" customHeight="1">
      <c r="A16" s="14" t="s">
        <v>195</v>
      </c>
      <c r="B16" s="115">
        <v>2</v>
      </c>
      <c r="C16" s="115">
        <v>3</v>
      </c>
      <c r="D16" s="115">
        <v>2</v>
      </c>
      <c r="E16" s="115">
        <v>3</v>
      </c>
      <c r="F16" s="116">
        <v>0</v>
      </c>
      <c r="G16" s="116">
        <v>5</v>
      </c>
      <c r="H16" s="116">
        <v>4</v>
      </c>
      <c r="I16" s="116">
        <v>1</v>
      </c>
      <c r="J16" s="115">
        <v>1</v>
      </c>
      <c r="K16" s="115">
        <v>7</v>
      </c>
      <c r="L16" s="115">
        <v>3</v>
      </c>
      <c r="M16" s="115">
        <v>5</v>
      </c>
      <c r="N16" s="116">
        <v>3</v>
      </c>
      <c r="O16" s="116">
        <v>3</v>
      </c>
      <c r="P16" s="116">
        <v>3</v>
      </c>
      <c r="Q16" s="116">
        <v>2</v>
      </c>
      <c r="R16" s="115">
        <v>2</v>
      </c>
      <c r="S16" s="115">
        <v>7</v>
      </c>
      <c r="T16" s="115">
        <v>6</v>
      </c>
      <c r="U16" s="115">
        <v>0</v>
      </c>
      <c r="V16" s="116">
        <v>0</v>
      </c>
      <c r="W16" s="116">
        <v>2</v>
      </c>
      <c r="X16" s="116">
        <v>5</v>
      </c>
      <c r="Y16" s="116">
        <v>2</v>
      </c>
      <c r="Z16" s="115">
        <v>0</v>
      </c>
      <c r="AA16" s="115">
        <v>2</v>
      </c>
      <c r="AB16" s="115">
        <v>0</v>
      </c>
      <c r="AC16" s="115">
        <v>2</v>
      </c>
    </row>
    <row r="17" spans="1:29" s="4" customFormat="1" ht="21" customHeight="1">
      <c r="A17" s="14" t="s">
        <v>135</v>
      </c>
      <c r="B17" s="115">
        <v>408</v>
      </c>
      <c r="C17" s="115">
        <v>542</v>
      </c>
      <c r="D17" s="115">
        <v>1012</v>
      </c>
      <c r="E17" s="115">
        <v>774</v>
      </c>
      <c r="F17" s="116">
        <v>205</v>
      </c>
      <c r="G17" s="116">
        <v>771</v>
      </c>
      <c r="H17" s="116">
        <v>1097</v>
      </c>
      <c r="I17" s="116">
        <v>686</v>
      </c>
      <c r="J17" s="115">
        <v>195</v>
      </c>
      <c r="K17" s="115">
        <v>720</v>
      </c>
      <c r="L17" s="115">
        <v>1005</v>
      </c>
      <c r="M17" s="115">
        <v>710</v>
      </c>
      <c r="N17" s="116">
        <v>216</v>
      </c>
      <c r="O17" s="116">
        <v>663</v>
      </c>
      <c r="P17" s="116">
        <v>1070</v>
      </c>
      <c r="Q17" s="116">
        <v>716</v>
      </c>
      <c r="R17" s="115">
        <v>192</v>
      </c>
      <c r="S17" s="115">
        <v>727</v>
      </c>
      <c r="T17" s="115">
        <v>1083</v>
      </c>
      <c r="U17" s="115">
        <v>764</v>
      </c>
      <c r="V17" s="116">
        <v>242</v>
      </c>
      <c r="W17" s="116">
        <v>657</v>
      </c>
      <c r="X17" s="116">
        <v>1020</v>
      </c>
      <c r="Y17" s="116">
        <v>799</v>
      </c>
      <c r="Z17" s="115">
        <v>403</v>
      </c>
      <c r="AA17" s="115">
        <v>583</v>
      </c>
      <c r="AB17" s="115">
        <v>933</v>
      </c>
      <c r="AC17" s="115">
        <v>935</v>
      </c>
    </row>
    <row r="18" spans="1:29" s="4" customFormat="1" ht="21" customHeight="1">
      <c r="A18" s="14" t="s">
        <v>16</v>
      </c>
      <c r="B18" s="115">
        <v>18</v>
      </c>
      <c r="C18" s="115">
        <v>10</v>
      </c>
      <c r="D18" s="115">
        <v>40</v>
      </c>
      <c r="E18" s="115">
        <v>11</v>
      </c>
      <c r="F18" s="116">
        <v>7</v>
      </c>
      <c r="G18" s="116">
        <v>19</v>
      </c>
      <c r="H18" s="116">
        <v>34</v>
      </c>
      <c r="I18" s="116">
        <v>28</v>
      </c>
      <c r="J18" s="115">
        <v>11</v>
      </c>
      <c r="K18" s="115">
        <v>25</v>
      </c>
      <c r="L18" s="115">
        <v>36</v>
      </c>
      <c r="M18" s="115">
        <v>16</v>
      </c>
      <c r="N18" s="116">
        <v>6</v>
      </c>
      <c r="O18" s="116">
        <v>24</v>
      </c>
      <c r="P18" s="116">
        <v>35</v>
      </c>
      <c r="Q18" s="116">
        <v>18</v>
      </c>
      <c r="R18" s="115">
        <v>9</v>
      </c>
      <c r="S18" s="115">
        <v>27</v>
      </c>
      <c r="T18" s="115">
        <v>25</v>
      </c>
      <c r="U18" s="115">
        <v>26</v>
      </c>
      <c r="V18" s="116">
        <v>6</v>
      </c>
      <c r="W18" s="116">
        <v>19</v>
      </c>
      <c r="X18" s="116">
        <v>37</v>
      </c>
      <c r="Y18" s="116">
        <v>25</v>
      </c>
      <c r="Z18" s="115">
        <v>18</v>
      </c>
      <c r="AA18" s="115">
        <v>20</v>
      </c>
      <c r="AB18" s="115">
        <v>33</v>
      </c>
      <c r="AC18" s="115">
        <v>20</v>
      </c>
    </row>
    <row r="19" spans="1:29" s="4" customFormat="1" ht="21" customHeight="1">
      <c r="A19" s="14" t="s">
        <v>4</v>
      </c>
      <c r="B19" s="115">
        <v>363</v>
      </c>
      <c r="C19" s="115">
        <v>124</v>
      </c>
      <c r="D19" s="115">
        <v>98</v>
      </c>
      <c r="E19" s="115">
        <v>119</v>
      </c>
      <c r="F19" s="116">
        <v>347</v>
      </c>
      <c r="G19" s="116">
        <v>133</v>
      </c>
      <c r="H19" s="116">
        <v>123</v>
      </c>
      <c r="I19" s="116">
        <v>104</v>
      </c>
      <c r="J19" s="115">
        <v>308</v>
      </c>
      <c r="K19" s="115">
        <v>137</v>
      </c>
      <c r="L19" s="115">
        <v>118</v>
      </c>
      <c r="M19" s="115">
        <v>125</v>
      </c>
      <c r="N19" s="116">
        <v>302</v>
      </c>
      <c r="O19" s="116">
        <v>142</v>
      </c>
      <c r="P19" s="116">
        <v>126</v>
      </c>
      <c r="Q19" s="116">
        <v>111</v>
      </c>
      <c r="R19" s="115">
        <v>325</v>
      </c>
      <c r="S19" s="115">
        <v>148</v>
      </c>
      <c r="T19" s="115">
        <v>125</v>
      </c>
      <c r="U19" s="115">
        <v>106</v>
      </c>
      <c r="V19" s="116">
        <v>319</v>
      </c>
      <c r="W19" s="116">
        <v>132</v>
      </c>
      <c r="X19" s="116">
        <v>130</v>
      </c>
      <c r="Y19" s="116">
        <v>144</v>
      </c>
      <c r="Z19" s="115">
        <v>354</v>
      </c>
      <c r="AA19" s="115">
        <v>120</v>
      </c>
      <c r="AB19" s="115">
        <v>106</v>
      </c>
      <c r="AC19" s="115">
        <v>119</v>
      </c>
    </row>
    <row r="20" spans="1:29" s="4" customFormat="1" ht="21" customHeight="1">
      <c r="A20" s="14" t="s">
        <v>5</v>
      </c>
      <c r="B20" s="115">
        <v>180</v>
      </c>
      <c r="C20" s="115">
        <v>22</v>
      </c>
      <c r="D20" s="115">
        <v>40</v>
      </c>
      <c r="E20" s="115">
        <v>70</v>
      </c>
      <c r="F20" s="116">
        <v>214</v>
      </c>
      <c r="G20" s="116">
        <v>33</v>
      </c>
      <c r="H20" s="116">
        <v>26</v>
      </c>
      <c r="I20" s="116">
        <v>57</v>
      </c>
      <c r="J20" s="115">
        <v>164</v>
      </c>
      <c r="K20" s="115">
        <v>13</v>
      </c>
      <c r="L20" s="115">
        <v>26</v>
      </c>
      <c r="M20" s="115">
        <v>46</v>
      </c>
      <c r="N20" s="116">
        <v>180</v>
      </c>
      <c r="O20" s="116">
        <v>27</v>
      </c>
      <c r="P20" s="116">
        <v>15</v>
      </c>
      <c r="Q20" s="116">
        <v>39</v>
      </c>
      <c r="R20" s="115">
        <v>173</v>
      </c>
      <c r="S20" s="115">
        <v>12</v>
      </c>
      <c r="T20" s="115">
        <v>19</v>
      </c>
      <c r="U20" s="115">
        <v>41</v>
      </c>
      <c r="V20" s="116">
        <v>188</v>
      </c>
      <c r="W20" s="116">
        <v>15</v>
      </c>
      <c r="X20" s="116">
        <v>18</v>
      </c>
      <c r="Y20" s="116">
        <v>46</v>
      </c>
      <c r="Z20" s="115">
        <v>153</v>
      </c>
      <c r="AA20" s="115">
        <v>31</v>
      </c>
      <c r="AB20" s="115">
        <v>32</v>
      </c>
      <c r="AC20" s="115">
        <v>60</v>
      </c>
    </row>
    <row r="21" spans="1:29" s="4" customFormat="1" ht="21" customHeight="1">
      <c r="A21" s="14" t="s">
        <v>17</v>
      </c>
      <c r="B21" s="115">
        <v>57</v>
      </c>
      <c r="C21" s="115">
        <v>55</v>
      </c>
      <c r="D21" s="115">
        <v>60</v>
      </c>
      <c r="E21" s="115">
        <v>51</v>
      </c>
      <c r="F21" s="116">
        <v>58</v>
      </c>
      <c r="G21" s="116">
        <v>76</v>
      </c>
      <c r="H21" s="116">
        <v>100</v>
      </c>
      <c r="I21" s="116">
        <v>52</v>
      </c>
      <c r="J21" s="115">
        <v>55</v>
      </c>
      <c r="K21" s="115">
        <v>116</v>
      </c>
      <c r="L21" s="115">
        <v>128</v>
      </c>
      <c r="M21" s="115">
        <v>56</v>
      </c>
      <c r="N21" s="116">
        <v>59</v>
      </c>
      <c r="O21" s="116">
        <v>142</v>
      </c>
      <c r="P21" s="116">
        <v>135</v>
      </c>
      <c r="Q21" s="116">
        <v>56</v>
      </c>
      <c r="R21" s="115">
        <v>62</v>
      </c>
      <c r="S21" s="115">
        <v>145</v>
      </c>
      <c r="T21" s="115">
        <v>150</v>
      </c>
      <c r="U21" s="115">
        <v>62</v>
      </c>
      <c r="V21" s="116">
        <v>52</v>
      </c>
      <c r="W21" s="116">
        <v>72</v>
      </c>
      <c r="X21" s="116">
        <v>123</v>
      </c>
      <c r="Y21" s="116">
        <v>99</v>
      </c>
      <c r="Z21" s="115">
        <v>55</v>
      </c>
      <c r="AA21" s="115">
        <v>37</v>
      </c>
      <c r="AB21" s="115">
        <v>81</v>
      </c>
      <c r="AC21" s="115">
        <v>75</v>
      </c>
    </row>
    <row r="22" spans="1:29" s="4" customFormat="1" ht="21" customHeight="1">
      <c r="A22" s="14" t="s">
        <v>6</v>
      </c>
      <c r="B22" s="115">
        <v>219</v>
      </c>
      <c r="C22" s="115">
        <v>69</v>
      </c>
      <c r="D22" s="115">
        <v>50</v>
      </c>
      <c r="E22" s="115">
        <v>75</v>
      </c>
      <c r="F22" s="116">
        <v>183</v>
      </c>
      <c r="G22" s="116">
        <v>84</v>
      </c>
      <c r="H22" s="116">
        <v>68</v>
      </c>
      <c r="I22" s="116">
        <v>71</v>
      </c>
      <c r="J22" s="115">
        <v>208</v>
      </c>
      <c r="K22" s="115">
        <v>72</v>
      </c>
      <c r="L22" s="115">
        <v>73</v>
      </c>
      <c r="M22" s="115">
        <v>78</v>
      </c>
      <c r="N22" s="116">
        <v>185</v>
      </c>
      <c r="O22" s="116">
        <v>79</v>
      </c>
      <c r="P22" s="116">
        <v>60</v>
      </c>
      <c r="Q22" s="116">
        <v>79</v>
      </c>
      <c r="R22" s="115">
        <v>185</v>
      </c>
      <c r="S22" s="115">
        <v>71</v>
      </c>
      <c r="T22" s="115">
        <v>60</v>
      </c>
      <c r="U22" s="115">
        <v>73</v>
      </c>
      <c r="V22" s="116">
        <v>187</v>
      </c>
      <c r="W22" s="116">
        <v>97</v>
      </c>
      <c r="X22" s="116">
        <v>84</v>
      </c>
      <c r="Y22" s="116">
        <v>83</v>
      </c>
      <c r="Z22" s="115">
        <v>231</v>
      </c>
      <c r="AA22" s="115">
        <v>100</v>
      </c>
      <c r="AB22" s="115">
        <v>75</v>
      </c>
      <c r="AC22" s="115">
        <v>77</v>
      </c>
    </row>
    <row r="23" spans="1:29" s="4" customFormat="1" ht="21" customHeight="1">
      <c r="A23" s="14" t="s">
        <v>7</v>
      </c>
      <c r="B23" s="115">
        <v>244</v>
      </c>
      <c r="C23" s="115">
        <v>100</v>
      </c>
      <c r="D23" s="115">
        <v>126</v>
      </c>
      <c r="E23" s="115">
        <v>84</v>
      </c>
      <c r="F23" s="116">
        <v>255</v>
      </c>
      <c r="G23" s="116">
        <v>131</v>
      </c>
      <c r="H23" s="116">
        <v>108</v>
      </c>
      <c r="I23" s="116">
        <v>72</v>
      </c>
      <c r="J23" s="115">
        <v>260</v>
      </c>
      <c r="K23" s="115">
        <v>115</v>
      </c>
      <c r="L23" s="115">
        <v>110</v>
      </c>
      <c r="M23" s="115">
        <v>84</v>
      </c>
      <c r="N23" s="116">
        <v>245</v>
      </c>
      <c r="O23" s="116">
        <v>121</v>
      </c>
      <c r="P23" s="116">
        <v>106</v>
      </c>
      <c r="Q23" s="116">
        <v>88</v>
      </c>
      <c r="R23" s="115">
        <v>227</v>
      </c>
      <c r="S23" s="115">
        <v>116</v>
      </c>
      <c r="T23" s="115">
        <v>114</v>
      </c>
      <c r="U23" s="115">
        <v>81</v>
      </c>
      <c r="V23" s="116">
        <v>238</v>
      </c>
      <c r="W23" s="116">
        <v>134</v>
      </c>
      <c r="X23" s="116">
        <v>98</v>
      </c>
      <c r="Y23" s="116">
        <v>92</v>
      </c>
      <c r="Z23" s="115">
        <v>260</v>
      </c>
      <c r="AA23" s="115">
        <v>103</v>
      </c>
      <c r="AB23" s="115">
        <v>121</v>
      </c>
      <c r="AC23" s="115">
        <v>102</v>
      </c>
    </row>
    <row r="24" spans="1:29" s="4" customFormat="1" ht="21" customHeight="1">
      <c r="A24" s="14" t="s">
        <v>8</v>
      </c>
      <c r="B24" s="115">
        <v>26</v>
      </c>
      <c r="C24" s="115">
        <v>315</v>
      </c>
      <c r="D24" s="115">
        <v>831</v>
      </c>
      <c r="E24" s="115">
        <v>212</v>
      </c>
      <c r="F24" s="116">
        <v>35</v>
      </c>
      <c r="G24" s="116">
        <v>342</v>
      </c>
      <c r="H24" s="116">
        <v>944</v>
      </c>
      <c r="I24" s="116">
        <v>246</v>
      </c>
      <c r="J24" s="115">
        <v>40</v>
      </c>
      <c r="K24" s="115">
        <v>308</v>
      </c>
      <c r="L24" s="115">
        <v>925</v>
      </c>
      <c r="M24" s="115">
        <v>238</v>
      </c>
      <c r="N24" s="116">
        <v>28</v>
      </c>
      <c r="O24" s="116">
        <v>371</v>
      </c>
      <c r="P24" s="116">
        <v>955</v>
      </c>
      <c r="Q24" s="116">
        <v>225</v>
      </c>
      <c r="R24" s="115">
        <v>26</v>
      </c>
      <c r="S24" s="115">
        <v>339</v>
      </c>
      <c r="T24" s="115">
        <v>946</v>
      </c>
      <c r="U24" s="115">
        <v>326</v>
      </c>
      <c r="V24" s="116">
        <v>24</v>
      </c>
      <c r="W24" s="116">
        <v>417</v>
      </c>
      <c r="X24" s="116">
        <v>856</v>
      </c>
      <c r="Y24" s="116">
        <v>299</v>
      </c>
      <c r="Z24" s="115">
        <v>26</v>
      </c>
      <c r="AA24" s="115">
        <v>331</v>
      </c>
      <c r="AB24" s="115">
        <v>838</v>
      </c>
      <c r="AC24" s="115">
        <v>282</v>
      </c>
    </row>
    <row r="25" spans="1:29" s="4" customFormat="1" ht="21" customHeight="1">
      <c r="A25" s="14" t="s">
        <v>9</v>
      </c>
      <c r="B25" s="115">
        <v>116</v>
      </c>
      <c r="C25" s="115">
        <v>93</v>
      </c>
      <c r="D25" s="115">
        <v>109</v>
      </c>
      <c r="E25" s="115">
        <v>65</v>
      </c>
      <c r="F25" s="116">
        <v>92</v>
      </c>
      <c r="G25" s="116">
        <v>141</v>
      </c>
      <c r="H25" s="116">
        <v>144</v>
      </c>
      <c r="I25" s="116">
        <v>72</v>
      </c>
      <c r="J25" s="115">
        <v>84</v>
      </c>
      <c r="K25" s="115">
        <v>130</v>
      </c>
      <c r="L25" s="115">
        <v>155</v>
      </c>
      <c r="M25" s="115">
        <v>51</v>
      </c>
      <c r="N25" s="116">
        <v>99</v>
      </c>
      <c r="O25" s="116">
        <v>171</v>
      </c>
      <c r="P25" s="116">
        <v>156</v>
      </c>
      <c r="Q25" s="116">
        <v>61</v>
      </c>
      <c r="R25" s="115">
        <v>93</v>
      </c>
      <c r="S25" s="115">
        <v>165</v>
      </c>
      <c r="T25" s="115">
        <v>152</v>
      </c>
      <c r="U25" s="115">
        <v>63</v>
      </c>
      <c r="V25" s="116">
        <v>74</v>
      </c>
      <c r="W25" s="116">
        <v>122</v>
      </c>
      <c r="X25" s="116">
        <v>144</v>
      </c>
      <c r="Y25" s="116">
        <v>60</v>
      </c>
      <c r="Z25" s="115">
        <v>91</v>
      </c>
      <c r="AA25" s="115">
        <v>104</v>
      </c>
      <c r="AB25" s="115">
        <v>103</v>
      </c>
      <c r="AC25" s="115">
        <v>80</v>
      </c>
    </row>
    <row r="26" spans="1:29" s="4" customFormat="1" ht="21" customHeight="1">
      <c r="A26" s="14" t="s">
        <v>10</v>
      </c>
      <c r="B26" s="115">
        <v>18</v>
      </c>
      <c r="C26" s="115">
        <v>20</v>
      </c>
      <c r="D26" s="115">
        <v>30</v>
      </c>
      <c r="E26" s="115">
        <v>15</v>
      </c>
      <c r="F26" s="116">
        <v>8</v>
      </c>
      <c r="G26" s="116">
        <v>6</v>
      </c>
      <c r="H26" s="116">
        <v>31</v>
      </c>
      <c r="I26" s="116">
        <v>20</v>
      </c>
      <c r="J26" s="115">
        <v>8</v>
      </c>
      <c r="K26" s="115">
        <v>10</v>
      </c>
      <c r="L26" s="115">
        <v>26</v>
      </c>
      <c r="M26" s="115">
        <v>18</v>
      </c>
      <c r="N26" s="116">
        <v>16</v>
      </c>
      <c r="O26" s="116">
        <v>10</v>
      </c>
      <c r="P26" s="116">
        <v>22</v>
      </c>
      <c r="Q26" s="116">
        <v>19</v>
      </c>
      <c r="R26" s="115">
        <v>7</v>
      </c>
      <c r="S26" s="115">
        <v>20</v>
      </c>
      <c r="T26" s="115">
        <v>27</v>
      </c>
      <c r="U26" s="115">
        <v>31</v>
      </c>
      <c r="V26" s="116">
        <v>10</v>
      </c>
      <c r="W26" s="116">
        <v>11</v>
      </c>
      <c r="X26" s="116">
        <v>39</v>
      </c>
      <c r="Y26" s="116">
        <v>21</v>
      </c>
      <c r="Z26" s="115">
        <v>15</v>
      </c>
      <c r="AA26" s="115">
        <v>14</v>
      </c>
      <c r="AB26" s="115">
        <v>30</v>
      </c>
      <c r="AC26" s="115">
        <v>29</v>
      </c>
    </row>
    <row r="27" spans="1:29" s="4" customFormat="1" ht="21" customHeight="1">
      <c r="A27" s="14" t="s">
        <v>18</v>
      </c>
      <c r="B27" s="115">
        <v>1</v>
      </c>
      <c r="C27" s="115">
        <v>1</v>
      </c>
      <c r="D27" s="115">
        <v>3</v>
      </c>
      <c r="E27" s="115">
        <v>0</v>
      </c>
      <c r="F27" s="116">
        <v>0</v>
      </c>
      <c r="G27" s="116">
        <v>3</v>
      </c>
      <c r="H27" s="116">
        <v>2</v>
      </c>
      <c r="I27" s="116">
        <v>0</v>
      </c>
      <c r="J27" s="115">
        <v>0</v>
      </c>
      <c r="K27" s="115">
        <v>4</v>
      </c>
      <c r="L27" s="115">
        <v>5</v>
      </c>
      <c r="M27" s="115">
        <v>0</v>
      </c>
      <c r="N27" s="116">
        <v>1</v>
      </c>
      <c r="O27" s="116">
        <v>1</v>
      </c>
      <c r="P27" s="116">
        <v>3</v>
      </c>
      <c r="Q27" s="116">
        <v>0</v>
      </c>
      <c r="R27" s="115">
        <v>0</v>
      </c>
      <c r="S27" s="115">
        <v>2</v>
      </c>
      <c r="T27" s="115">
        <v>0</v>
      </c>
      <c r="U27" s="115">
        <v>0</v>
      </c>
      <c r="V27" s="116">
        <v>1</v>
      </c>
      <c r="W27" s="116">
        <v>1</v>
      </c>
      <c r="X27" s="116">
        <v>2</v>
      </c>
      <c r="Y27" s="116">
        <v>1</v>
      </c>
      <c r="Z27" s="115">
        <v>1</v>
      </c>
      <c r="AA27" s="115">
        <v>2</v>
      </c>
      <c r="AB27" s="115">
        <v>3</v>
      </c>
      <c r="AC27" s="115">
        <v>1</v>
      </c>
    </row>
    <row r="28" spans="1:29" s="4" customFormat="1" ht="21" customHeight="1">
      <c r="A28" s="14" t="s">
        <v>11</v>
      </c>
      <c r="B28" s="115">
        <v>188</v>
      </c>
      <c r="C28" s="115">
        <v>389</v>
      </c>
      <c r="D28" s="115">
        <v>449</v>
      </c>
      <c r="E28" s="115">
        <v>233</v>
      </c>
      <c r="F28" s="116">
        <v>270</v>
      </c>
      <c r="G28" s="116">
        <v>523</v>
      </c>
      <c r="H28" s="116">
        <v>606</v>
      </c>
      <c r="I28" s="116">
        <v>243</v>
      </c>
      <c r="J28" s="115">
        <v>251</v>
      </c>
      <c r="K28" s="115">
        <v>487</v>
      </c>
      <c r="L28" s="115">
        <v>590</v>
      </c>
      <c r="M28" s="115">
        <v>262</v>
      </c>
      <c r="N28" s="116">
        <v>221</v>
      </c>
      <c r="O28" s="116">
        <v>489</v>
      </c>
      <c r="P28" s="116">
        <v>656</v>
      </c>
      <c r="Q28" s="116">
        <v>250</v>
      </c>
      <c r="R28" s="115">
        <v>233</v>
      </c>
      <c r="S28" s="115">
        <v>485</v>
      </c>
      <c r="T28" s="115">
        <v>615</v>
      </c>
      <c r="U28" s="115">
        <v>240</v>
      </c>
      <c r="V28" s="116">
        <v>205</v>
      </c>
      <c r="W28" s="116">
        <v>517</v>
      </c>
      <c r="X28" s="116">
        <v>588</v>
      </c>
      <c r="Y28" s="116">
        <v>280</v>
      </c>
      <c r="Z28" s="115">
        <v>164</v>
      </c>
      <c r="AA28" s="115">
        <v>427</v>
      </c>
      <c r="AB28" s="115">
        <v>482</v>
      </c>
      <c r="AC28" s="115">
        <v>238</v>
      </c>
    </row>
    <row r="29" spans="1:29" s="4" customFormat="1" ht="21" customHeight="1">
      <c r="A29" s="14" t="s">
        <v>19</v>
      </c>
      <c r="B29" s="115">
        <v>114</v>
      </c>
      <c r="C29" s="115">
        <v>168</v>
      </c>
      <c r="D29" s="115">
        <v>271</v>
      </c>
      <c r="E29" s="115">
        <v>116</v>
      </c>
      <c r="F29" s="116">
        <v>111</v>
      </c>
      <c r="G29" s="116">
        <v>176</v>
      </c>
      <c r="H29" s="116">
        <v>253</v>
      </c>
      <c r="I29" s="116">
        <v>123</v>
      </c>
      <c r="J29" s="115">
        <v>78</v>
      </c>
      <c r="K29" s="115">
        <v>179</v>
      </c>
      <c r="L29" s="115">
        <v>267</v>
      </c>
      <c r="M29" s="115">
        <v>118</v>
      </c>
      <c r="N29" s="116">
        <v>99</v>
      </c>
      <c r="O29" s="116">
        <v>210</v>
      </c>
      <c r="P29" s="116">
        <v>268</v>
      </c>
      <c r="Q29" s="116">
        <v>118</v>
      </c>
      <c r="R29" s="115">
        <v>94</v>
      </c>
      <c r="S29" s="115">
        <v>187</v>
      </c>
      <c r="T29" s="115">
        <v>279</v>
      </c>
      <c r="U29" s="115">
        <v>144</v>
      </c>
      <c r="V29" s="116">
        <v>98</v>
      </c>
      <c r="W29" s="116">
        <v>153</v>
      </c>
      <c r="X29" s="116">
        <v>265</v>
      </c>
      <c r="Y29" s="116">
        <v>172</v>
      </c>
      <c r="Z29" s="115">
        <v>98</v>
      </c>
      <c r="AA29" s="115">
        <v>173</v>
      </c>
      <c r="AB29" s="115">
        <v>259</v>
      </c>
      <c r="AC29" s="115">
        <v>177</v>
      </c>
    </row>
    <row r="30" spans="1:29" s="4" customFormat="1" ht="21" customHeight="1">
      <c r="A30" s="14" t="s">
        <v>20</v>
      </c>
      <c r="B30" s="115">
        <v>129</v>
      </c>
      <c r="C30" s="115">
        <v>44</v>
      </c>
      <c r="D30" s="115">
        <v>118</v>
      </c>
      <c r="E30" s="115">
        <v>116</v>
      </c>
      <c r="F30" s="116">
        <v>117</v>
      </c>
      <c r="G30" s="116">
        <v>59</v>
      </c>
      <c r="H30" s="116">
        <v>99</v>
      </c>
      <c r="I30" s="116">
        <v>116</v>
      </c>
      <c r="J30" s="115">
        <v>94</v>
      </c>
      <c r="K30" s="115">
        <v>56</v>
      </c>
      <c r="L30" s="115">
        <v>79</v>
      </c>
      <c r="M30" s="115">
        <v>99</v>
      </c>
      <c r="N30" s="116">
        <v>105</v>
      </c>
      <c r="O30" s="116">
        <v>55</v>
      </c>
      <c r="P30" s="116">
        <v>88</v>
      </c>
      <c r="Q30" s="116">
        <v>89</v>
      </c>
      <c r="R30" s="115">
        <v>101</v>
      </c>
      <c r="S30" s="115">
        <v>54</v>
      </c>
      <c r="T30" s="115">
        <v>77</v>
      </c>
      <c r="U30" s="115">
        <v>89</v>
      </c>
      <c r="V30" s="116">
        <v>112</v>
      </c>
      <c r="W30" s="116">
        <v>64</v>
      </c>
      <c r="X30" s="116">
        <v>74</v>
      </c>
      <c r="Y30" s="116">
        <v>104</v>
      </c>
      <c r="Z30" s="115">
        <v>132</v>
      </c>
      <c r="AA30" s="115">
        <v>58</v>
      </c>
      <c r="AB30" s="115">
        <v>101</v>
      </c>
      <c r="AC30" s="115">
        <v>151</v>
      </c>
    </row>
    <row r="31" spans="1:29" s="4" customFormat="1" ht="21" customHeight="1">
      <c r="A31" s="14" t="s">
        <v>12</v>
      </c>
      <c r="B31" s="115">
        <v>651</v>
      </c>
      <c r="C31" s="115">
        <v>464</v>
      </c>
      <c r="D31" s="115">
        <v>752</v>
      </c>
      <c r="E31" s="115">
        <v>656</v>
      </c>
      <c r="F31" s="116">
        <v>323</v>
      </c>
      <c r="G31" s="116">
        <v>538</v>
      </c>
      <c r="H31" s="116">
        <v>796</v>
      </c>
      <c r="I31" s="116">
        <v>630</v>
      </c>
      <c r="J31" s="115">
        <v>318</v>
      </c>
      <c r="K31" s="115">
        <v>533</v>
      </c>
      <c r="L31" s="115">
        <v>670</v>
      </c>
      <c r="M31" s="115">
        <v>617</v>
      </c>
      <c r="N31" s="116">
        <v>329</v>
      </c>
      <c r="O31" s="116">
        <v>483</v>
      </c>
      <c r="P31" s="116">
        <v>626</v>
      </c>
      <c r="Q31" s="116">
        <v>601</v>
      </c>
      <c r="R31" s="115">
        <v>322</v>
      </c>
      <c r="S31" s="115">
        <v>496</v>
      </c>
      <c r="T31" s="115">
        <v>683</v>
      </c>
      <c r="U31" s="115">
        <v>619</v>
      </c>
      <c r="V31" s="116">
        <v>353</v>
      </c>
      <c r="W31" s="116">
        <v>453</v>
      </c>
      <c r="X31" s="116">
        <v>697</v>
      </c>
      <c r="Y31" s="116">
        <v>839</v>
      </c>
      <c r="Z31" s="115">
        <v>600</v>
      </c>
      <c r="AA31" s="115">
        <v>487</v>
      </c>
      <c r="AB31" s="115">
        <v>720</v>
      </c>
      <c r="AC31" s="115">
        <v>937</v>
      </c>
    </row>
    <row r="32" spans="1:29" s="4" customFormat="1" ht="21" customHeight="1">
      <c r="A32" s="14" t="s">
        <v>21</v>
      </c>
      <c r="B32" s="115">
        <v>511</v>
      </c>
      <c r="C32" s="115">
        <v>309</v>
      </c>
      <c r="D32" s="115">
        <v>390</v>
      </c>
      <c r="E32" s="115">
        <v>376</v>
      </c>
      <c r="F32" s="116">
        <v>261</v>
      </c>
      <c r="G32" s="116">
        <v>371</v>
      </c>
      <c r="H32" s="116">
        <v>581</v>
      </c>
      <c r="I32" s="116">
        <v>357</v>
      </c>
      <c r="J32" s="115">
        <v>266</v>
      </c>
      <c r="K32" s="115">
        <v>571</v>
      </c>
      <c r="L32" s="115">
        <v>651</v>
      </c>
      <c r="M32" s="115">
        <v>383</v>
      </c>
      <c r="N32" s="116">
        <v>295</v>
      </c>
      <c r="O32" s="116">
        <v>731</v>
      </c>
      <c r="P32" s="116">
        <v>788</v>
      </c>
      <c r="Q32" s="116">
        <v>430</v>
      </c>
      <c r="R32" s="115">
        <v>321</v>
      </c>
      <c r="S32" s="115">
        <v>750</v>
      </c>
      <c r="T32" s="115">
        <v>980</v>
      </c>
      <c r="U32" s="115">
        <v>535</v>
      </c>
      <c r="V32" s="116">
        <v>398</v>
      </c>
      <c r="W32" s="116">
        <v>479</v>
      </c>
      <c r="X32" s="116">
        <v>878</v>
      </c>
      <c r="Y32" s="116">
        <v>869</v>
      </c>
      <c r="Z32" s="115">
        <v>489</v>
      </c>
      <c r="AA32" s="115">
        <v>317</v>
      </c>
      <c r="AB32" s="115">
        <v>576</v>
      </c>
      <c r="AC32" s="115">
        <v>792</v>
      </c>
    </row>
    <row r="33" spans="1:29" s="4" customFormat="1" ht="21" customHeight="1">
      <c r="A33" s="14" t="s">
        <v>22</v>
      </c>
      <c r="B33" s="115">
        <v>193</v>
      </c>
      <c r="C33" s="115">
        <v>115</v>
      </c>
      <c r="D33" s="115">
        <v>161</v>
      </c>
      <c r="E33" s="115">
        <v>186</v>
      </c>
      <c r="F33" s="116">
        <v>122</v>
      </c>
      <c r="G33" s="116">
        <v>253</v>
      </c>
      <c r="H33" s="116">
        <v>396</v>
      </c>
      <c r="I33" s="116">
        <v>152</v>
      </c>
      <c r="J33" s="115">
        <v>142</v>
      </c>
      <c r="K33" s="115">
        <v>525</v>
      </c>
      <c r="L33" s="115">
        <v>442</v>
      </c>
      <c r="M33" s="115">
        <v>156</v>
      </c>
      <c r="N33" s="116">
        <v>160</v>
      </c>
      <c r="O33" s="116">
        <v>478</v>
      </c>
      <c r="P33" s="116">
        <v>478</v>
      </c>
      <c r="Q33" s="116">
        <v>169</v>
      </c>
      <c r="R33" s="115">
        <v>128</v>
      </c>
      <c r="S33" s="115">
        <v>454</v>
      </c>
      <c r="T33" s="115">
        <v>492</v>
      </c>
      <c r="U33" s="115">
        <v>197</v>
      </c>
      <c r="V33" s="116">
        <v>183</v>
      </c>
      <c r="W33" s="116">
        <v>416</v>
      </c>
      <c r="X33" s="116">
        <v>454</v>
      </c>
      <c r="Y33" s="116">
        <v>290</v>
      </c>
      <c r="Z33" s="115">
        <v>210</v>
      </c>
      <c r="AA33" s="115">
        <v>116</v>
      </c>
      <c r="AB33" s="115">
        <v>242</v>
      </c>
      <c r="AC33" s="115">
        <v>263</v>
      </c>
    </row>
    <row r="34" spans="1:29" s="4" customFormat="1" ht="21" customHeight="1">
      <c r="A34" s="14" t="s">
        <v>23</v>
      </c>
      <c r="B34" s="115">
        <v>360</v>
      </c>
      <c r="C34" s="115">
        <v>226</v>
      </c>
      <c r="D34" s="115">
        <v>383</v>
      </c>
      <c r="E34" s="115">
        <v>309</v>
      </c>
      <c r="F34" s="116">
        <v>256</v>
      </c>
      <c r="G34" s="116">
        <v>248</v>
      </c>
      <c r="H34" s="116">
        <v>392</v>
      </c>
      <c r="I34" s="116">
        <v>291</v>
      </c>
      <c r="J34" s="115">
        <v>178</v>
      </c>
      <c r="K34" s="115">
        <v>271</v>
      </c>
      <c r="L34" s="115">
        <v>412</v>
      </c>
      <c r="M34" s="115">
        <v>294</v>
      </c>
      <c r="N34" s="116">
        <v>215</v>
      </c>
      <c r="O34" s="116">
        <v>257</v>
      </c>
      <c r="P34" s="116">
        <v>382</v>
      </c>
      <c r="Q34" s="116">
        <v>257</v>
      </c>
      <c r="R34" s="115">
        <v>213</v>
      </c>
      <c r="S34" s="115">
        <v>309</v>
      </c>
      <c r="T34" s="115">
        <v>392</v>
      </c>
      <c r="U34" s="115">
        <v>314</v>
      </c>
      <c r="V34" s="116">
        <v>222</v>
      </c>
      <c r="W34" s="116">
        <v>239</v>
      </c>
      <c r="X34" s="116">
        <v>410</v>
      </c>
      <c r="Y34" s="116">
        <v>416</v>
      </c>
      <c r="Z34" s="115">
        <v>304</v>
      </c>
      <c r="AA34" s="115">
        <v>237</v>
      </c>
      <c r="AB34" s="115">
        <v>433</v>
      </c>
      <c r="AC34" s="115">
        <v>432</v>
      </c>
    </row>
    <row r="35" spans="1:29" s="4" customFormat="1" ht="21" customHeight="1">
      <c r="A35" s="14" t="s">
        <v>26</v>
      </c>
      <c r="B35" s="115">
        <v>0</v>
      </c>
      <c r="C35" s="115">
        <v>0</v>
      </c>
      <c r="D35" s="115">
        <v>0</v>
      </c>
      <c r="E35" s="115">
        <v>1</v>
      </c>
      <c r="F35" s="116">
        <v>0</v>
      </c>
      <c r="G35" s="116">
        <v>0</v>
      </c>
      <c r="H35" s="116">
        <v>0</v>
      </c>
      <c r="I35" s="116">
        <v>0</v>
      </c>
      <c r="J35" s="115">
        <v>0</v>
      </c>
      <c r="K35" s="115">
        <v>0</v>
      </c>
      <c r="L35" s="115">
        <v>1</v>
      </c>
      <c r="M35" s="115">
        <v>1</v>
      </c>
      <c r="N35" s="116">
        <v>0</v>
      </c>
      <c r="O35" s="116">
        <v>1</v>
      </c>
      <c r="P35" s="116">
        <v>0</v>
      </c>
      <c r="Q35" s="116">
        <v>0</v>
      </c>
      <c r="R35" s="115">
        <v>0</v>
      </c>
      <c r="S35" s="115">
        <v>1</v>
      </c>
      <c r="T35" s="115">
        <v>2</v>
      </c>
      <c r="U35" s="115">
        <v>0</v>
      </c>
      <c r="V35" s="116">
        <v>0</v>
      </c>
      <c r="W35" s="116">
        <v>0</v>
      </c>
      <c r="X35" s="116">
        <v>0</v>
      </c>
      <c r="Y35" s="116">
        <v>0</v>
      </c>
      <c r="Z35" s="115">
        <v>0</v>
      </c>
      <c r="AA35" s="115">
        <v>0</v>
      </c>
      <c r="AB35" s="115">
        <v>0</v>
      </c>
      <c r="AC35" s="115">
        <v>2</v>
      </c>
    </row>
    <row r="36" spans="1:29" s="4" customFormat="1" ht="21" customHeight="1">
      <c r="A36" s="14" t="s">
        <v>27</v>
      </c>
      <c r="B36" s="115">
        <v>181</v>
      </c>
      <c r="C36" s="115">
        <v>7</v>
      </c>
      <c r="D36" s="115">
        <v>66</v>
      </c>
      <c r="E36" s="115">
        <v>73</v>
      </c>
      <c r="F36" s="116">
        <v>3</v>
      </c>
      <c r="G36" s="116">
        <v>10</v>
      </c>
      <c r="H36" s="116">
        <v>17</v>
      </c>
      <c r="I36" s="116">
        <v>20</v>
      </c>
      <c r="J36" s="115">
        <v>5</v>
      </c>
      <c r="K36" s="115">
        <v>35</v>
      </c>
      <c r="L36" s="115">
        <v>34</v>
      </c>
      <c r="M36" s="115">
        <v>68</v>
      </c>
      <c r="N36" s="116">
        <v>22</v>
      </c>
      <c r="O36" s="116">
        <v>30</v>
      </c>
      <c r="P36" s="116">
        <v>55</v>
      </c>
      <c r="Q36" s="116">
        <v>66</v>
      </c>
      <c r="R36" s="115">
        <v>11</v>
      </c>
      <c r="S36" s="115">
        <v>38</v>
      </c>
      <c r="T36" s="115">
        <v>49</v>
      </c>
      <c r="U36" s="115">
        <v>67</v>
      </c>
      <c r="V36" s="116">
        <v>19</v>
      </c>
      <c r="W36" s="116">
        <v>31</v>
      </c>
      <c r="X36" s="116">
        <v>142</v>
      </c>
      <c r="Y36" s="116">
        <v>343</v>
      </c>
      <c r="Z36" s="115">
        <v>111</v>
      </c>
      <c r="AA36" s="115">
        <v>26</v>
      </c>
      <c r="AB36" s="115">
        <v>112</v>
      </c>
      <c r="AC36" s="115">
        <v>393</v>
      </c>
    </row>
    <row r="37" spans="1:29" s="4" customFormat="1" ht="21" customHeight="1">
      <c r="A37" s="14" t="s">
        <v>28</v>
      </c>
      <c r="B37" s="115">
        <v>9</v>
      </c>
      <c r="C37" s="115">
        <v>9</v>
      </c>
      <c r="D37" s="115">
        <v>8</v>
      </c>
      <c r="E37" s="115">
        <v>4</v>
      </c>
      <c r="F37" s="116">
        <v>9</v>
      </c>
      <c r="G37" s="116">
        <v>8</v>
      </c>
      <c r="H37" s="116">
        <v>20</v>
      </c>
      <c r="I37" s="116">
        <v>2</v>
      </c>
      <c r="J37" s="115">
        <v>8</v>
      </c>
      <c r="K37" s="115">
        <v>19</v>
      </c>
      <c r="L37" s="115">
        <v>16</v>
      </c>
      <c r="M37" s="115">
        <v>3</v>
      </c>
      <c r="N37" s="116">
        <v>22</v>
      </c>
      <c r="O37" s="116">
        <v>20</v>
      </c>
      <c r="P37" s="116">
        <v>17</v>
      </c>
      <c r="Q37" s="116">
        <v>3</v>
      </c>
      <c r="R37" s="115">
        <v>6</v>
      </c>
      <c r="S37" s="115">
        <v>13</v>
      </c>
      <c r="T37" s="115">
        <v>23</v>
      </c>
      <c r="U37" s="115">
        <v>10</v>
      </c>
      <c r="V37" s="116">
        <v>8</v>
      </c>
      <c r="W37" s="116">
        <v>16</v>
      </c>
      <c r="X37" s="116">
        <v>15</v>
      </c>
      <c r="Y37" s="116">
        <v>7</v>
      </c>
      <c r="Z37" s="115">
        <v>9</v>
      </c>
      <c r="AA37" s="115">
        <v>7</v>
      </c>
      <c r="AB37" s="115">
        <v>9</v>
      </c>
      <c r="AC37" s="115">
        <v>5</v>
      </c>
    </row>
    <row r="38" spans="1:29" s="4" customFormat="1" ht="21" customHeight="1">
      <c r="A38" s="14" t="s">
        <v>29</v>
      </c>
      <c r="B38" s="115">
        <v>714</v>
      </c>
      <c r="C38" s="115">
        <v>1208</v>
      </c>
      <c r="D38" s="115">
        <v>1007</v>
      </c>
      <c r="E38" s="115">
        <v>1055</v>
      </c>
      <c r="F38" s="116">
        <v>479</v>
      </c>
      <c r="G38" s="116">
        <v>3060</v>
      </c>
      <c r="H38" s="116">
        <v>1239</v>
      </c>
      <c r="I38" s="116">
        <v>1262</v>
      </c>
      <c r="J38" s="115">
        <v>400</v>
      </c>
      <c r="K38" s="115">
        <v>1670</v>
      </c>
      <c r="L38" s="115">
        <v>1198</v>
      </c>
      <c r="M38" s="115">
        <v>1030</v>
      </c>
      <c r="N38" s="116">
        <v>549</v>
      </c>
      <c r="O38" s="116">
        <v>3063</v>
      </c>
      <c r="P38" s="116">
        <v>1163</v>
      </c>
      <c r="Q38" s="116">
        <v>1227</v>
      </c>
      <c r="R38" s="115">
        <v>486</v>
      </c>
      <c r="S38" s="115">
        <v>1838</v>
      </c>
      <c r="T38" s="115">
        <v>1287</v>
      </c>
      <c r="U38" s="115">
        <v>1168</v>
      </c>
      <c r="V38" s="116">
        <v>576</v>
      </c>
      <c r="W38" s="116">
        <v>2911</v>
      </c>
      <c r="X38" s="116">
        <v>1184</v>
      </c>
      <c r="Y38" s="116">
        <v>1681</v>
      </c>
      <c r="Z38" s="115">
        <v>712</v>
      </c>
      <c r="AA38" s="115">
        <v>1554</v>
      </c>
      <c r="AB38" s="115">
        <v>1149</v>
      </c>
      <c r="AC38" s="115">
        <v>1485</v>
      </c>
    </row>
    <row r="39" spans="1:29" s="4" customFormat="1" ht="21" customHeight="1">
      <c r="A39" s="14" t="s">
        <v>31</v>
      </c>
      <c r="B39" s="115">
        <v>20</v>
      </c>
      <c r="C39" s="115">
        <v>98</v>
      </c>
      <c r="D39" s="115">
        <v>106</v>
      </c>
      <c r="E39" s="115">
        <v>16</v>
      </c>
      <c r="F39" s="116">
        <v>5</v>
      </c>
      <c r="G39" s="116">
        <v>245</v>
      </c>
      <c r="H39" s="116">
        <v>236</v>
      </c>
      <c r="I39" s="116">
        <v>15</v>
      </c>
      <c r="J39" s="115">
        <v>3</v>
      </c>
      <c r="K39" s="115">
        <v>351</v>
      </c>
      <c r="L39" s="115">
        <v>343</v>
      </c>
      <c r="M39" s="115">
        <v>14</v>
      </c>
      <c r="N39" s="116">
        <v>1</v>
      </c>
      <c r="O39" s="116">
        <v>417</v>
      </c>
      <c r="P39" s="116">
        <v>713</v>
      </c>
      <c r="Q39" s="116">
        <v>70</v>
      </c>
      <c r="R39" s="115">
        <v>4</v>
      </c>
      <c r="S39" s="115">
        <v>446</v>
      </c>
      <c r="T39" s="115">
        <v>977</v>
      </c>
      <c r="U39" s="115">
        <v>244</v>
      </c>
      <c r="V39" s="116">
        <v>9</v>
      </c>
      <c r="W39" s="116">
        <v>218</v>
      </c>
      <c r="X39" s="116">
        <v>919</v>
      </c>
      <c r="Y39" s="116">
        <v>309</v>
      </c>
      <c r="Z39" s="115">
        <v>26</v>
      </c>
      <c r="AA39" s="115">
        <v>97</v>
      </c>
      <c r="AB39" s="115">
        <v>463</v>
      </c>
      <c r="AC39" s="115">
        <v>355</v>
      </c>
    </row>
    <row r="40" spans="1:29" s="4" customFormat="1" ht="21" customHeight="1">
      <c r="A40" s="14" t="s">
        <v>32</v>
      </c>
      <c r="B40" s="115">
        <v>95</v>
      </c>
      <c r="C40" s="115">
        <v>393</v>
      </c>
      <c r="D40" s="115">
        <v>320</v>
      </c>
      <c r="E40" s="115">
        <v>106</v>
      </c>
      <c r="F40" s="116">
        <v>55</v>
      </c>
      <c r="G40" s="116">
        <v>174</v>
      </c>
      <c r="H40" s="116">
        <v>204</v>
      </c>
      <c r="I40" s="116">
        <v>94</v>
      </c>
      <c r="J40" s="115">
        <v>63</v>
      </c>
      <c r="K40" s="115">
        <v>204</v>
      </c>
      <c r="L40" s="115">
        <v>189</v>
      </c>
      <c r="M40" s="115">
        <v>94</v>
      </c>
      <c r="N40" s="116">
        <v>53</v>
      </c>
      <c r="O40" s="116">
        <v>200</v>
      </c>
      <c r="P40" s="116">
        <v>211</v>
      </c>
      <c r="Q40" s="116">
        <v>101</v>
      </c>
      <c r="R40" s="115">
        <v>61</v>
      </c>
      <c r="S40" s="115">
        <v>217</v>
      </c>
      <c r="T40" s="115">
        <v>228</v>
      </c>
      <c r="U40" s="115">
        <v>109</v>
      </c>
      <c r="V40" s="116">
        <v>62</v>
      </c>
      <c r="W40" s="116">
        <v>195</v>
      </c>
      <c r="X40" s="116">
        <v>260</v>
      </c>
      <c r="Y40" s="116">
        <v>167</v>
      </c>
      <c r="Z40" s="115">
        <v>79</v>
      </c>
      <c r="AA40" s="115">
        <v>380</v>
      </c>
      <c r="AB40" s="115">
        <v>364</v>
      </c>
      <c r="AC40" s="115">
        <v>196</v>
      </c>
    </row>
    <row r="41" spans="1:29" s="4" customFormat="1" ht="15" customHeight="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row>
    <row r="42" spans="1:29" ht="15" customHeight="1">
      <c r="A42" s="72" t="s">
        <v>117</v>
      </c>
    </row>
    <row r="43" spans="1:29" ht="15" customHeight="1"/>
    <row r="44" spans="1:29" ht="15" customHeight="1">
      <c r="A44" s="117" t="s">
        <v>147</v>
      </c>
    </row>
    <row r="45" spans="1:29" ht="15" customHeight="1">
      <c r="A45" s="117" t="s">
        <v>148</v>
      </c>
    </row>
    <row r="46" spans="1:29" ht="15" customHeight="1">
      <c r="A46" s="4"/>
    </row>
    <row r="47" spans="1:29" ht="15" customHeight="1">
      <c r="A47" s="11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 of offences</vt:lpstr>
      <vt:lpstr>Premises Type</vt:lpstr>
      <vt:lpstr>Victims</vt:lpstr>
      <vt:lpstr>Offenders</vt:lpstr>
      <vt:lpstr>Aboriginality</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Derek Goh</dc:creator>
  <cp:keywords>BOCSAR; Crime Statistics</cp:keywords>
  <cp:lastModifiedBy>Derek Goh</cp:lastModifiedBy>
  <cp:lastPrinted>2023-11-28T01:47:48Z</cp:lastPrinted>
  <dcterms:created xsi:type="dcterms:W3CDTF">2010-09-17T02:54:15Z</dcterms:created>
  <dcterms:modified xsi:type="dcterms:W3CDTF">2025-08-18T09:34:35Z</dcterms:modified>
  <cp:category>Statistics</cp:category>
</cp:coreProperties>
</file>